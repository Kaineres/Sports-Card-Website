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E9BA3834382A0EF/Documents/"/>
    </mc:Choice>
  </mc:AlternateContent>
  <xr:revisionPtr revIDLastSave="286" documentId="8_{37764FF7-839F-4202-AA63-04F5FFC23D2D}" xr6:coauthVersionLast="47" xr6:coauthVersionMax="47" xr10:uidLastSave="{8962E81C-A689-42EA-8CC7-88F3CB02DD46}"/>
  <bookViews>
    <workbookView xWindow="-120" yWindow="-120" windowWidth="38640" windowHeight="21120" tabRatio="500" firstSheet="2" activeTab="2" xr2:uid="{00000000-000D-0000-FFFF-FFFF00000000}"/>
  </bookViews>
  <sheets>
    <sheet name="README" sheetId="1" r:id="rId1"/>
    <sheet name="Investment Thesis" sheetId="2" r:id="rId2"/>
    <sheet name="Buy Log" sheetId="3" r:id="rId3"/>
    <sheet name="Sell Log" sheetId="4" r:id="rId4"/>
    <sheet name="Weekly Review" sheetId="5" r:id="rId5"/>
    <sheet name="Reviews 30-60-90"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9" i="4" l="1"/>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P9" i="4"/>
  <c r="I9" i="4"/>
  <c r="H9" i="4"/>
  <c r="I8" i="4"/>
  <c r="H8" i="4"/>
  <c r="I7" i="4"/>
  <c r="H7" i="4"/>
  <c r="P6" i="4"/>
  <c r="I6" i="4"/>
  <c r="H6" i="4"/>
  <c r="P5" i="4"/>
  <c r="I5" i="4"/>
  <c r="H5" i="4"/>
  <c r="P4" i="4"/>
  <c r="I4" i="4"/>
  <c r="H4" i="4"/>
  <c r="P8" i="4" s="1"/>
  <c r="P7" i="4" l="1"/>
</calcChain>
</file>

<file path=xl/sharedStrings.xml><?xml version="1.0" encoding="utf-8"?>
<sst xmlns="http://schemas.openxmlformats.org/spreadsheetml/2006/main" count="190" uniqueCount="167">
  <si>
    <t>SlabMetrics — 90-Day Decision Log</t>
  </si>
  <si>
    <t>Carson Froy &amp; Kain Kim | Combined portfolio target: ~$5k</t>
  </si>
  <si>
    <t>PURPOSE</t>
  </si>
  <si>
    <t>This log is NOT for tracking portfolio returns. It is for generating decision data that will inform the SlabMetrics product roadmap. If you optimize for returns, you will cherry-pick safe bets and learn nothing. Optimize for learning what signals matter.</t>
  </si>
  <si>
    <t>THE FOUR TABS</t>
  </si>
  <si>
    <t>Investment Thesis  —  Write your one-paragraph thesis BEFORE you start buying. Revise at each 30/60/90-day review.</t>
  </si>
  <si>
    <t>Buy Log  —  Fill out BEFORE every purchase. No exceptions. The 'before' is the entire point.</t>
  </si>
  <si>
    <t>Sell Log  —  Fill out for every sale. Includes calibration check (were you right?).</t>
  </si>
  <si>
    <t>Weekly Review  —  One row per Sunday. 30 minutes, both founders, on a call. Non-negotiable cadence.</t>
  </si>
  <si>
    <t>Reviews 30/60/90  —  Longer reviews at each checkpoint. Use the prompts.</t>
  </si>
  <si>
    <t>THE THREE RULES</t>
  </si>
  <si>
    <t>1. BOTH of you log. Kain too. Beginner perspective is data, not noise.</t>
  </si>
  <si>
    <t>2. Buy Log filled BEFORE clicking buy. After-the-fact is rationalization, not decision data.</t>
  </si>
  <si>
    <t>3. Do NOT build SlabMetrics features mid-experiment. Infrastructure okay. Features wait until Day 90.</t>
  </si>
  <si>
    <t>WHAT 'SUCCESS' LOOKS LIKE AT DAY 90</t>
  </si>
  <si>
    <t>• 30+ logged buy decisions across both founders, 10 cards for Kain, 15 cards each every 30 days</t>
  </si>
  <si>
    <t>• Ranked list of signals by predictive accuracy in YOUR experience</t>
  </si>
  <si>
    <t>• Ranked list of workflow pain points in your own voice</t>
  </si>
  <si>
    <t>• Calibration score: how often confident predictions were right</t>
  </si>
  <si>
    <t>• 3–5 concrete feature hypotheses grounded in your own pain</t>
  </si>
  <si>
    <t>COLOR CONVENTIONS</t>
  </si>
  <si>
    <t>Blue text = inputs you fill in. Black text = formulas (do not overwrite). Yellow background = key assumptions / cells to update at reviews.</t>
  </si>
  <si>
    <t>Investment Thesis — revise at each checkpoint</t>
  </si>
  <si>
    <t>Date</t>
  </si>
  <si>
    <t>Author</t>
  </si>
  <si>
    <t>Thesis (one paragraph)</t>
  </si>
  <si>
    <t>What changed since last revision?</t>
  </si>
  <si>
    <t>Day 0 - 5/21/26</t>
  </si>
  <si>
    <r>
      <rPr>
        <sz val="10"/>
        <color rgb="FF00B0F0"/>
        <rFont val="Arial"/>
      </rPr>
      <t>Carson</t>
    </r>
    <r>
      <rPr>
        <sz val="10"/>
        <color rgb="FF0000FF"/>
        <rFont val="Arial"/>
      </rPr>
      <t xml:space="preserve"> + Kain</t>
    </r>
  </si>
  <si>
    <r>
      <t xml:space="preserve">Loading up on football because the draft just finished and players are likely on the teams that they will be playing for at the start of the season. Now is a good time to buy football because this is the offseason and historically, the offseason is when prices are lower.  May look for players coming off of injury as well, because their markets are likely not as high as they would be if they had a fully healthy season last year. Players like Aidan Hutchison, Chris Olave, Tank Dell, Malik Nabers,  Spencer Strider, and others are players I will target because they are still rehabbing injuries and are projected to return from injury soon. Targeting graded cards PSA 9 and above.                                                                                                           </t>
    </r>
    <r>
      <rPr>
        <sz val="10"/>
        <color rgb="FF0070C0"/>
        <rFont val="Arial"/>
        <family val="2"/>
      </rPr>
      <t>Will be using prediction markets such as Polymarket and Kalshi to study how prediction markets evaluate outcomes of players. I can use player market odds to assign projected and predicted value of sports cards for basketball and football cards. Basketball cards will be traded based on playoff basketball events. Football cards will be traded based on Kalshi predictions on next year performance of certain players. I will also study if any historical milestones will be broken soon and use accolades as another method to find +EV sports cards. I want to diversify between different cards of different prices and if they are rookie cards or not. Additionally, I will be using recent events prediction markets to analyze which cards will have quick increases in price.</t>
    </r>
    <r>
      <rPr>
        <sz val="10"/>
        <color rgb="FF00B0F0"/>
        <rFont val="Arial"/>
        <family val="2"/>
      </rPr>
      <t xml:space="preserve">                                                                                            </t>
    </r>
  </si>
  <si>
    <t>Initial thesis. Will revise at Day 30.</t>
  </si>
  <si>
    <t>Day 30 - 6/20/26</t>
  </si>
  <si>
    <t>Day 60 - 7/20/26</t>
  </si>
  <si>
    <t>Day 90 - 8/19/26</t>
  </si>
  <si>
    <t>Buy Log — fill out BEFORE clicking buy</t>
  </si>
  <si>
    <t>Buyer
(Carson/Kain)</t>
  </si>
  <si>
    <t>Player</t>
  </si>
  <si>
    <t>Year</t>
  </si>
  <si>
    <t>Set</t>
  </si>
  <si>
    <t>Card #</t>
  </si>
  <si>
    <t>Grade
(or Raw)</t>
  </si>
  <si>
    <t>Serial #
(if any)</t>
  </si>
  <si>
    <t>Price Paid ($)</t>
  </si>
  <si>
    <t>Venue</t>
  </si>
  <si>
    <t>Comp 1 ($ / date)</t>
  </si>
  <si>
    <t>Comp 2 ($ / date)</t>
  </si>
  <si>
    <t>Comp 3 ($ / date)</t>
  </si>
  <si>
    <t>Primary Signal</t>
  </si>
  <si>
    <t>Signal — notes
(be specific)</t>
  </si>
  <si>
    <t>Confidence
(1–5)</t>
  </si>
  <si>
    <t>30-Day Target ($)</t>
  </si>
  <si>
    <t>60-Day Target ($)</t>
  </si>
  <si>
    <t>90-Day Target ($)</t>
  </si>
  <si>
    <t>Sell Trigger(s)</t>
  </si>
  <si>
    <t>Submission?
(Y/N + expected grade dist)</t>
  </si>
  <si>
    <t>Time on Decision
(minutes)</t>
  </si>
  <si>
    <t>What would have made this decision EASIER?</t>
  </si>
  <si>
    <t>Carson</t>
  </si>
  <si>
    <t>Stephon Castle</t>
  </si>
  <si>
    <t>Bowman Chrome</t>
  </si>
  <si>
    <t>Raw</t>
  </si>
  <si>
    <t>23/75</t>
  </si>
  <si>
    <t>Card Shop</t>
  </si>
  <si>
    <t>49.99 5/23/2026</t>
  </si>
  <si>
    <t>45.00 5/21/2026</t>
  </si>
  <si>
    <t>19.99 3/17/2026</t>
  </si>
  <si>
    <t>Player trajectory</t>
  </si>
  <si>
    <t>Deep playoff run with potential to go to, and win the finals. Playing extremely well with expectations to become a top player in the league in the coming years</t>
  </si>
  <si>
    <t>Spurs win champiomnship &amp; price goes up to ~$60</t>
  </si>
  <si>
    <t>No (PSA 8-9)</t>
  </si>
  <si>
    <t>20 min</t>
  </si>
  <si>
    <t xml:space="preserve">Easier access to comp data, Buy/Sell/Hold recommendation tool, accurate fair value estimate </t>
  </si>
  <si>
    <t>Emeka Egbuka</t>
  </si>
  <si>
    <t>Bowman's Best</t>
  </si>
  <si>
    <t>BOA-EE</t>
  </si>
  <si>
    <t>67/100</t>
  </si>
  <si>
    <t>$46.01 4/11/2026</t>
  </si>
  <si>
    <t>57.99 3/26/2026</t>
  </si>
  <si>
    <t>N/A</t>
  </si>
  <si>
    <t>Offseason</t>
  </si>
  <si>
    <t>Players in the offseason typically have lower markets, which usually rise once the preaseason begins. I believe that this card will not only jump in the preseason, but based on his performace as a rookie, along with his increased target share due to the signing of Mike Evans to the 49ers, which opens up a large volume of targets for the current Buccaneers WRs</t>
  </si>
  <si>
    <t>Price increase to ~$100, Egbuka sees the expected increase in targets and has explosive performances, which increases his overall market.</t>
  </si>
  <si>
    <t>No (Small whitening on corners PSA 8-9)</t>
  </si>
  <si>
    <t>Easy access to comps, season projection analytics (prediction market), Grade estimation/suggestion tool</t>
  </si>
  <si>
    <t>Kain</t>
  </si>
  <si>
    <t xml:space="preserve">Jared McCain </t>
  </si>
  <si>
    <t>Panini Prizm</t>
  </si>
  <si>
    <t>#80</t>
  </si>
  <si>
    <t>169/199</t>
  </si>
  <si>
    <t>eBay</t>
  </si>
  <si>
    <t>$17.99 3/17/2026</t>
  </si>
  <si>
    <t>$17.64 3/8/2026</t>
  </si>
  <si>
    <t>$15.00 3/7/2026</t>
  </si>
  <si>
    <t>Prediction market signal                     Secondary signal: player trajectory</t>
  </si>
  <si>
    <t>On the Kalshi Jalen Williams Return market, the odds that he will return before June 6, 2026 went from 80% to 46%. With this factor, Jared McCain has filled in as a starter for Jalen Williams and the longer Jalen Williams is injured, the more opportunities he has to perform. His trajectory has also been very positive as he has had two 20+ point games and had 20 points in his first playoff start.</t>
  </si>
  <si>
    <t xml:space="preserve">Price increases to $35 and Jared McCain solidifies himself as a key player for the OKC but don't have trajectory to win championship, if McCain wins championship his market will increase drastically prompting a sell at $40-50 </t>
  </si>
  <si>
    <t>TBD</t>
  </si>
  <si>
    <t>Easier optimization of Kalshi markets as well as an easier evaluation of Jared McCains fair market value for a raw card. Additionally, players that aren't stars usually don't have many markets in Kalshi. In this case, I had to use some NBA knowledge and correlation with Jalen Williams being absent and Jared McCain's performance as a result.</t>
  </si>
  <si>
    <t xml:space="preserve">Jalen Brunson </t>
  </si>
  <si>
    <t>#250</t>
  </si>
  <si>
    <t>$15.99 5/26/2026</t>
  </si>
  <si>
    <t>$13.00 5/26/2026</t>
  </si>
  <si>
    <t>$14.99 5/26/2026</t>
  </si>
  <si>
    <t>Prediction market signal        Secondary signal: player trajectory Third signal: undervalued comp</t>
  </si>
  <si>
    <t>Firstly, Jalen Brunson is the star of the New York Knicks, a city that hasn't been to a Finals in 27 years. With the hype surrounding, Jalen Brunson's Final MVP markets and Knick's winning markets have increased from 19% to 30%. This of course is due to the Knicks sweeping the Cavs, but when the first game starts and Jalen Brunson performs, his card value will skyrocket.</t>
  </si>
  <si>
    <t>Knicks win championship and the price shoots up to $70 dollars, or card shoots up to $40 while Brunson is performing well in the Finals and the Knicks trajectory to win the Finals is low, will hold card in projection of next year hype</t>
  </si>
  <si>
    <t>20 mins</t>
  </si>
  <si>
    <t>Easier assessment of the fair market value of this card could of helped. Additionally, having a better way to filter between a base raw card and a parallel of the same card would have made it easier for me to purchase. I used Sports Card Investor and the process was a little lethargic in terms of finding the right specific card. Additionally, in the Kalshi market interface it would of been easier if I could filter by player markets only instead of looking at team markets as well.</t>
  </si>
  <si>
    <t>Jordan Walker</t>
  </si>
  <si>
    <t>Topps Chrome</t>
  </si>
  <si>
    <t>$4.50 5/27/2026</t>
  </si>
  <si>
    <t>$3.50 5/25/2026</t>
  </si>
  <si>
    <t>$3.00 5/24/2026</t>
  </si>
  <si>
    <t>Prediction market signal       Secondarysignal: player trajectory</t>
  </si>
  <si>
    <t>Jordan Walker is a young player that is currently breaking out in the month of May. After high expectations in the past seasons, he has now been performing well as of late. The NL Player of the Month for May Market has saw an increase in Jordan Walker winning the award from 32% to 42% in recent days. With the award announcement coming soon, a drastic 10% increase indicates his value and probabillity of receiving this award. His market has cooled as of late as well, so his card isn't priced in, indicating that this is a good time to buy</t>
  </si>
  <si>
    <t>Firstly, outcome of the NL Player of the Month for May will influence his market trajectory in a short period, will sell card if short term growth is $20, if not hold the card as long term investment as a stabile growth card</t>
  </si>
  <si>
    <t>10 mins</t>
  </si>
  <si>
    <t>Knowing ahead of time what the change in Jordan Walker's probability to win the NL Player of the Month for May market. I didn't know until 12 hours after and I had to manually check. A notification notifying a certain player to watch within the Kalshi market would of been helpful to understand market movements. Assessing fair market value of a card was difficult as well because of how volatile his prices have been lately due to previous performances and speculation of him winning NL Player of the Month for May.</t>
  </si>
  <si>
    <t>Luther Burden</t>
  </si>
  <si>
    <t>Topps Chrome Sapphire</t>
  </si>
  <si>
    <t>SSA-LB</t>
  </si>
  <si>
    <t>$245.00 5/31/2026</t>
  </si>
  <si>
    <t>Burden is set to have an increased role in the Bears offense this season with the departure of former #1 WR DJ Moore being traded. Burden exploded late in the season and is poised for an even bigger sophomore year. Burden is in the offseason currently, which means that the football card market as a whole is lower than it will be at the start of the season.</t>
  </si>
  <si>
    <t>Preaseason spike to ~$300, or a mid season breakout causes the card to climb into the mid $300s.</t>
  </si>
  <si>
    <t>Potentially</t>
  </si>
  <si>
    <t>A prediction based analysis of Burden's potential performance, along with easier access to comps and insight as to whether or not Burden is a good player to invest in currently.</t>
  </si>
  <si>
    <t>Sell Log — calibration is the point</t>
  </si>
  <si>
    <t>Date Sold</t>
  </si>
  <si>
    <t>Seller</t>
  </si>
  <si>
    <t>Card (player/year/set/#/grade)</t>
  </si>
  <si>
    <t>Buy Log Row #</t>
  </si>
  <si>
    <t>Buy Price ($)</t>
  </si>
  <si>
    <t>Sale Price ($)</t>
  </si>
  <si>
    <t>Fees ($)</t>
  </si>
  <si>
    <t>Net Return ($)</t>
  </si>
  <si>
    <t>Return %</t>
  </si>
  <si>
    <t>Sell Reason</t>
  </si>
  <si>
    <t>Original Confidence (1–5)</t>
  </si>
  <si>
    <t>Calibrated?
(Outcome matched confidence?)</t>
  </si>
  <si>
    <t>What would you do differently?</t>
  </si>
  <si>
    <t>Portfolio Summary</t>
  </si>
  <si>
    <t>Total trades closed</t>
  </si>
  <si>
    <t>Winners (positive net return)</t>
  </si>
  <si>
    <t>Losers (negative net return)</t>
  </si>
  <si>
    <t>Win rate</t>
  </si>
  <si>
    <t>Total net P&amp;L ($)</t>
  </si>
  <si>
    <t>Avg return per trade %</t>
  </si>
  <si>
    <t>Weekly Review — every Sunday, 30 min, both founders</t>
  </si>
  <si>
    <t>The single most important field: 'Most annoying part of managing this portfolio right now'. After 12 weeks, you have a ranked list of pain points in your own voice.</t>
  </si>
  <si>
    <t>Week #</t>
  </si>
  <si>
    <t>New positions this week (count + brief)</t>
  </si>
  <si>
    <t>Existing positions: notable movement / triggers hit</t>
  </si>
  <si>
    <t>Thesis changes?</t>
  </si>
  <si>
    <t>Most annoying part of managing this portfolio RIGHT NOW</t>
  </si>
  <si>
    <t>Checkpoint Reviews — 30, 60, 90 days</t>
  </si>
  <si>
    <t>2 hours, just you and Carson. The point of the whole experiment is here.</t>
  </si>
  <si>
    <t>Prompt</t>
  </si>
  <si>
    <t>Day 30 Answer</t>
  </si>
  <si>
    <t>Day 60 Answer</t>
  </si>
  <si>
    <t>Day 90 Answer</t>
  </si>
  <si>
    <t>1. Which signals predicted returns? (Group all buys by primary signal. Which categories had positive net returns? Which were noise?)</t>
  </si>
  <si>
    <t>2. Where did the workflow break? (Pull every 'what would have made this easier' answer from the Buy Log. Cluster them. Top 3 clusters = v1 feature priorities.)</t>
  </si>
  <si>
    <t>3. What did you wish you knew but couldn't easily find? (Each unmet info need = potential feature.)</t>
  </si>
  <si>
    <t>4. What info was easy to get but useless? (Equally important — cuts features from the roadmap before you build them.)</t>
  </si>
  <si>
    <t>5. Calibration: how often were high-confidence (4–5) buys actually winners? How often were low-confidence (1–2) buys winners?</t>
  </si>
  <si>
    <t>6. Has the thesis changed? (Revise the Investment Thesis tab. The drift tells you how investor mental models evolve.)</t>
  </si>
  <si>
    <t>7. Top 3 feature hypotheses you'd build next (and the evidence from the log that supports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</si>
</sst>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0;&quot;($&quot;#,##0\);\-"/>
    <numFmt numFmtId="165" formatCode="0.0%"/>
  </numFmts>
  <fonts count="16" x14ac:knownFonts="1">
    <font>
      <sz val="11"/>
      <color theme="1"/>
      <name val="Calibri"/>
      <family val="2"/>
      <charset val="1"/>
    </font>
    <font>
      <b/>
      <sz val="18"/>
      <color rgb="FF0B1B2B"/>
      <name val="Arial"/>
      <charset val="1"/>
    </font>
    <font>
      <i/>
      <sz val="11"/>
      <color rgb="FF0B1B2B"/>
      <name val="Arial"/>
      <charset val="1"/>
    </font>
    <font>
      <b/>
      <sz val="13"/>
      <color rgb="FF0B1B2B"/>
      <name val="Arial"/>
      <charset val="1"/>
    </font>
    <font>
      <sz val="10"/>
      <name val="Arial"/>
      <charset val="1"/>
    </font>
    <font>
      <b/>
      <sz val="11"/>
      <color rgb="FFFFFFFF"/>
      <name val="Arial"/>
      <charset val="1"/>
    </font>
    <font>
      <sz val="10"/>
      <color rgb="FF0000FF"/>
      <name val="Arial"/>
      <charset val="1"/>
    </font>
    <font>
      <b/>
      <sz val="11"/>
      <color rgb="FF0B1B2B"/>
      <name val="Arial"/>
      <charset val="1"/>
    </font>
    <font>
      <sz val="10"/>
      <color rgb="FF000000"/>
      <name val="Arial"/>
      <charset val="1"/>
    </font>
    <font>
      <i/>
      <sz val="10"/>
      <color rgb="FF0B1B2B"/>
      <name val="Arial"/>
      <charset val="1"/>
    </font>
    <font>
      <sz val="10"/>
      <color rgb="FF0000FF"/>
      <name val="Arial"/>
      <family val="2"/>
    </font>
    <font>
      <sz val="10"/>
      <color rgb="FF00B0F0"/>
      <name val="Arial"/>
      <family val="2"/>
    </font>
    <font>
      <sz val="10"/>
      <color rgb="FF00B0F0"/>
      <name val="Arial"/>
    </font>
    <font>
      <sz val="10"/>
      <color rgb="FF0000FF"/>
      <name val="Arial"/>
    </font>
    <font>
      <sz val="10"/>
      <color rgb="FF0070C0"/>
      <name val="Arial"/>
      <family val="2"/>
    </font>
    <font>
      <sz val="10"/>
      <name val="Arial"/>
      <family val="2"/>
    </font>
  </fonts>
  <fills count="5">
    <fill>
      <patternFill patternType="none"/>
    </fill>
    <fill>
      <patternFill patternType="gray125"/>
    </fill>
    <fill>
      <patternFill patternType="solid">
        <fgColor rgb="FF0B1B2B"/>
        <bgColor rgb="FF000000"/>
      </patternFill>
    </fill>
    <fill>
      <patternFill patternType="solid">
        <fgColor rgb="FFFFF2CC"/>
        <bgColor rgb="FFF5EFE0"/>
      </patternFill>
    </fill>
    <fill>
      <patternFill patternType="solid">
        <fgColor rgb="FFF5EFE0"/>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7" fillId="4" borderId="0" xfId="0" applyFont="1" applyFill="1" applyAlignment="1">
      <alignment horizontal="center"/>
    </xf>
    <xf numFmtId="164" fontId="6" fillId="0" borderId="1" xfId="0" applyNumberFormat="1" applyFont="1" applyBorder="1" applyAlignment="1">
      <alignment horizontal="left" vertical="top" wrapText="1"/>
    </xf>
    <xf numFmtId="164" fontId="8" fillId="0" borderId="1" xfId="0" applyNumberFormat="1" applyFont="1" applyBorder="1" applyAlignment="1">
      <alignment horizontal="left" vertical="top" wrapText="1"/>
    </xf>
    <xf numFmtId="165" fontId="8" fillId="0" borderId="1" xfId="0" applyNumberFormat="1" applyFont="1" applyBorder="1" applyAlignment="1">
      <alignment horizontal="left" vertical="top" wrapText="1"/>
    </xf>
    <xf numFmtId="0" fontId="4" fillId="0" borderId="1" xfId="0" applyFont="1" applyBorder="1" applyAlignment="1">
      <alignment horizontal="left"/>
    </xf>
    <xf numFmtId="0" fontId="8" fillId="0" borderId="1" xfId="0" applyFont="1" applyBorder="1" applyAlignment="1">
      <alignment horizontal="right"/>
    </xf>
    <xf numFmtId="165" fontId="8" fillId="0" borderId="1" xfId="0" applyNumberFormat="1" applyFont="1" applyBorder="1" applyAlignment="1">
      <alignment horizontal="right"/>
    </xf>
    <xf numFmtId="164" fontId="8" fillId="0" borderId="1" xfId="0" applyNumberFormat="1" applyFont="1" applyBorder="1" applyAlignment="1">
      <alignment horizontal="right"/>
    </xf>
    <xf numFmtId="0" fontId="6" fillId="0" borderId="1" xfId="0" applyFont="1" applyBorder="1" applyAlignment="1">
      <alignment horizontal="center" vertical="top"/>
    </xf>
    <xf numFmtId="0" fontId="4"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14" fontId="6" fillId="0" borderId="1" xfId="0" applyNumberFormat="1" applyFont="1" applyBorder="1" applyAlignment="1">
      <alignment horizontal="left" vertical="top" wrapText="1"/>
    </xf>
    <xf numFmtId="6" fontId="6" fillId="0" borderId="1" xfId="0" applyNumberFormat="1" applyFont="1" applyBorder="1" applyAlignment="1">
      <alignment horizontal="left" vertical="top" wrapText="1"/>
    </xf>
    <xf numFmtId="8" fontId="6" fillId="0" borderId="1" xfId="0" applyNumberFormat="1" applyFont="1" applyBorder="1" applyAlignment="1">
      <alignment horizontal="lef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15" fillId="0" borderId="0" xfId="0" applyFont="1" applyAlignment="1">
      <alignment vertical="top" wrapText="1"/>
    </xf>
    <xf numFmtId="0" fontId="9" fillId="0" borderId="0" xfId="0" applyFont="1" applyAlignment="1">
      <alignment wrapText="1"/>
    </xf>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5EF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Normal="100" workbookViewId="0">
      <selection activeCell="A20" sqref="A20:F20"/>
    </sheetView>
  </sheetViews>
  <sheetFormatPr defaultColWidth="8.7109375" defaultRowHeight="15" x14ac:dyDescent="0.25"/>
  <cols>
    <col min="1" max="1" width="20" customWidth="1"/>
    <col min="2" max="6" width="18" customWidth="1"/>
  </cols>
  <sheetData>
    <row r="1" spans="1:6" ht="23.25" x14ac:dyDescent="0.35">
      <c r="A1" s="20" t="s">
        <v>0</v>
      </c>
      <c r="B1" s="20"/>
      <c r="C1" s="20"/>
      <c r="D1" s="20"/>
      <c r="E1" s="20"/>
      <c r="F1" s="20"/>
    </row>
    <row r="2" spans="1:6" x14ac:dyDescent="0.25">
      <c r="A2" s="21" t="s">
        <v>1</v>
      </c>
      <c r="B2" s="21"/>
      <c r="C2" s="21"/>
      <c r="D2" s="21"/>
      <c r="E2" s="21"/>
      <c r="F2" s="21"/>
    </row>
    <row r="4" spans="1:6" ht="16.5" x14ac:dyDescent="0.25">
      <c r="A4" s="22" t="s">
        <v>2</v>
      </c>
      <c r="B4" s="22"/>
      <c r="C4" s="22"/>
      <c r="D4" s="22"/>
      <c r="E4" s="22"/>
      <c r="F4" s="22"/>
    </row>
    <row r="5" spans="1:6" ht="45" customHeight="1" x14ac:dyDescent="0.25">
      <c r="A5" s="23" t="s">
        <v>3</v>
      </c>
      <c r="B5" s="23"/>
      <c r="C5" s="23"/>
      <c r="D5" s="23"/>
      <c r="E5" s="23"/>
      <c r="F5" s="23"/>
    </row>
    <row r="7" spans="1:6" ht="16.5" x14ac:dyDescent="0.25">
      <c r="A7" s="22" t="s">
        <v>4</v>
      </c>
      <c r="B7" s="22"/>
      <c r="C7" s="22"/>
      <c r="D7" s="22"/>
      <c r="E7" s="22"/>
      <c r="F7" s="22"/>
    </row>
    <row r="8" spans="1:6" ht="30" customHeight="1" x14ac:dyDescent="0.25">
      <c r="A8" s="23" t="s">
        <v>5</v>
      </c>
      <c r="B8" s="23"/>
      <c r="C8" s="23"/>
      <c r="D8" s="23"/>
      <c r="E8" s="23"/>
      <c r="F8" s="23"/>
    </row>
    <row r="9" spans="1:6" ht="30" customHeight="1" x14ac:dyDescent="0.25">
      <c r="A9" s="23" t="s">
        <v>6</v>
      </c>
      <c r="B9" s="23"/>
      <c r="C9" s="23"/>
      <c r="D9" s="23"/>
      <c r="E9" s="23"/>
      <c r="F9" s="23"/>
    </row>
    <row r="10" spans="1:6" ht="18" customHeight="1" x14ac:dyDescent="0.25">
      <c r="A10" s="23" t="s">
        <v>7</v>
      </c>
      <c r="B10" s="23"/>
      <c r="C10" s="23"/>
      <c r="D10" s="23"/>
      <c r="E10" s="23"/>
      <c r="F10" s="23"/>
    </row>
    <row r="11" spans="1:6" ht="30" customHeight="1" x14ac:dyDescent="0.25">
      <c r="A11" s="23" t="s">
        <v>8</v>
      </c>
      <c r="B11" s="23"/>
      <c r="C11" s="23"/>
      <c r="D11" s="23"/>
      <c r="E11" s="23"/>
      <c r="F11" s="23"/>
    </row>
    <row r="12" spans="1:6" ht="18" customHeight="1" x14ac:dyDescent="0.25">
      <c r="A12" s="23" t="s">
        <v>9</v>
      </c>
      <c r="B12" s="23"/>
      <c r="C12" s="23"/>
      <c r="D12" s="23"/>
      <c r="E12" s="23"/>
      <c r="F12" s="23"/>
    </row>
    <row r="14" spans="1:6" ht="16.5" x14ac:dyDescent="0.25">
      <c r="A14" s="22" t="s">
        <v>10</v>
      </c>
      <c r="B14" s="22"/>
      <c r="C14" s="22"/>
      <c r="D14" s="22"/>
      <c r="E14" s="22"/>
      <c r="F14" s="22"/>
    </row>
    <row r="15" spans="1:6" ht="18" customHeight="1" x14ac:dyDescent="0.25">
      <c r="A15" s="23" t="s">
        <v>11</v>
      </c>
      <c r="B15" s="23"/>
      <c r="C15" s="23"/>
      <c r="D15" s="23"/>
      <c r="E15" s="23"/>
      <c r="F15" s="23"/>
    </row>
    <row r="16" spans="1:6" ht="30" customHeight="1" x14ac:dyDescent="0.25">
      <c r="A16" s="23" t="s">
        <v>12</v>
      </c>
      <c r="B16" s="23"/>
      <c r="C16" s="23"/>
      <c r="D16" s="23"/>
      <c r="E16" s="23"/>
      <c r="F16" s="23"/>
    </row>
    <row r="17" spans="1:6" ht="30" customHeight="1" x14ac:dyDescent="0.25">
      <c r="A17" s="23" t="s">
        <v>13</v>
      </c>
      <c r="B17" s="23"/>
      <c r="C17" s="23"/>
      <c r="D17" s="23"/>
      <c r="E17" s="23"/>
      <c r="F17" s="23"/>
    </row>
    <row r="19" spans="1:6" ht="16.5" x14ac:dyDescent="0.25">
      <c r="A19" s="22" t="s">
        <v>14</v>
      </c>
      <c r="B19" s="22"/>
      <c r="C19" s="22"/>
      <c r="D19" s="22"/>
      <c r="E19" s="22"/>
      <c r="F19" s="22"/>
    </row>
    <row r="20" spans="1:6" ht="18" customHeight="1" x14ac:dyDescent="0.25">
      <c r="A20" s="24" t="s">
        <v>15</v>
      </c>
      <c r="B20" s="23"/>
      <c r="C20" s="23"/>
      <c r="D20" s="23"/>
      <c r="E20" s="23"/>
      <c r="F20" s="23"/>
    </row>
    <row r="21" spans="1:6" ht="18" customHeight="1" x14ac:dyDescent="0.25">
      <c r="A21" s="23" t="s">
        <v>16</v>
      </c>
      <c r="B21" s="23"/>
      <c r="C21" s="23"/>
      <c r="D21" s="23"/>
      <c r="E21" s="23"/>
      <c r="F21" s="23"/>
    </row>
    <row r="22" spans="1:6" ht="18" customHeight="1" x14ac:dyDescent="0.25">
      <c r="A22" s="23" t="s">
        <v>17</v>
      </c>
      <c r="B22" s="23"/>
      <c r="C22" s="23"/>
      <c r="D22" s="23"/>
      <c r="E22" s="23"/>
      <c r="F22" s="23"/>
    </row>
    <row r="23" spans="1:6" ht="18" customHeight="1" x14ac:dyDescent="0.25">
      <c r="A23" s="23" t="s">
        <v>18</v>
      </c>
      <c r="B23" s="23"/>
      <c r="C23" s="23"/>
      <c r="D23" s="23"/>
      <c r="E23" s="23"/>
      <c r="F23" s="23"/>
    </row>
    <row r="24" spans="1:6" ht="18" customHeight="1" x14ac:dyDescent="0.25">
      <c r="A24" s="23" t="s">
        <v>19</v>
      </c>
      <c r="B24" s="23"/>
      <c r="C24" s="23"/>
      <c r="D24" s="23"/>
      <c r="E24" s="23"/>
      <c r="F24" s="23"/>
    </row>
    <row r="26" spans="1:6" ht="16.5" x14ac:dyDescent="0.25">
      <c r="A26" s="22" t="s">
        <v>20</v>
      </c>
      <c r="B26" s="22"/>
      <c r="C26" s="22"/>
      <c r="D26" s="22"/>
      <c r="E26" s="22"/>
      <c r="F26" s="22"/>
    </row>
    <row r="27" spans="1:6" ht="30" customHeight="1" x14ac:dyDescent="0.25">
      <c r="A27" s="23" t="s">
        <v>21</v>
      </c>
      <c r="B27" s="23"/>
      <c r="C27" s="23"/>
      <c r="D27" s="23"/>
      <c r="E27" s="23"/>
      <c r="F27" s="23"/>
    </row>
  </sheetData>
  <mergeCells count="22">
    <mergeCell ref="A26:F26"/>
    <mergeCell ref="A27:F27"/>
    <mergeCell ref="A20:F20"/>
    <mergeCell ref="A21:F21"/>
    <mergeCell ref="A22:F22"/>
    <mergeCell ref="A23:F23"/>
    <mergeCell ref="A24:F24"/>
    <mergeCell ref="A14:F14"/>
    <mergeCell ref="A15:F15"/>
    <mergeCell ref="A16:F16"/>
    <mergeCell ref="A17:F17"/>
    <mergeCell ref="A19:F19"/>
    <mergeCell ref="A8:F8"/>
    <mergeCell ref="A9:F9"/>
    <mergeCell ref="A10:F10"/>
    <mergeCell ref="A11:F11"/>
    <mergeCell ref="A12:F12"/>
    <mergeCell ref="A1:F1"/>
    <mergeCell ref="A2:F2"/>
    <mergeCell ref="A4:F4"/>
    <mergeCell ref="A5:F5"/>
    <mergeCell ref="A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topLeftCell="A4" zoomScaleNormal="100" workbookViewId="0">
      <selection activeCell="C4" sqref="C4"/>
    </sheetView>
  </sheetViews>
  <sheetFormatPr defaultColWidth="8.7109375" defaultRowHeight="15" x14ac:dyDescent="0.25"/>
  <cols>
    <col min="1" max="1" width="10" customWidth="1"/>
    <col min="2" max="2" width="16" customWidth="1"/>
    <col min="3" max="3" width="70" customWidth="1"/>
    <col min="4" max="4" width="40" customWidth="1"/>
  </cols>
  <sheetData>
    <row r="1" spans="1:4" ht="23.25" x14ac:dyDescent="0.35">
      <c r="A1" s="20" t="s">
        <v>22</v>
      </c>
      <c r="B1" s="20"/>
      <c r="C1" s="20"/>
      <c r="D1" s="20"/>
    </row>
    <row r="3" spans="1:4" ht="42" customHeight="1" x14ac:dyDescent="0.25">
      <c r="A3" s="1" t="s">
        <v>23</v>
      </c>
      <c r="B3" s="1" t="s">
        <v>24</v>
      </c>
      <c r="C3" s="1" t="s">
        <v>25</v>
      </c>
      <c r="D3" s="1" t="s">
        <v>26</v>
      </c>
    </row>
    <row r="4" spans="1:4" ht="276.75" customHeight="1" x14ac:dyDescent="0.25">
      <c r="A4" s="2" t="s">
        <v>27</v>
      </c>
      <c r="B4" s="15" t="s">
        <v>28</v>
      </c>
      <c r="C4" s="16" t="s">
        <v>29</v>
      </c>
      <c r="D4" s="16" t="s">
        <v>30</v>
      </c>
    </row>
    <row r="5" spans="1:4" ht="90" customHeight="1" x14ac:dyDescent="0.25">
      <c r="A5" s="2" t="s">
        <v>31</v>
      </c>
      <c r="B5" s="3"/>
      <c r="C5" s="3"/>
      <c r="D5" s="3"/>
    </row>
    <row r="6" spans="1:4" ht="90" customHeight="1" x14ac:dyDescent="0.25">
      <c r="A6" s="2" t="s">
        <v>32</v>
      </c>
      <c r="B6" s="3"/>
      <c r="C6" s="3"/>
      <c r="D6" s="3"/>
    </row>
    <row r="7" spans="1:4" ht="90" customHeight="1" x14ac:dyDescent="0.25">
      <c r="A7" s="2" t="s">
        <v>33</v>
      </c>
      <c r="B7" s="3"/>
      <c r="C7" s="3"/>
      <c r="D7" s="3"/>
    </row>
  </sheetData>
  <mergeCells count="1">
    <mergeCell ref="A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5"/>
  <sheetViews>
    <sheetView tabSelected="1" zoomScaleNormal="100" workbookViewId="0">
      <pane ySplit="3" topLeftCell="A4" activePane="bottomLeft" state="frozen"/>
      <selection pane="bottomLeft" activeCell="O11" sqref="O11"/>
    </sheetView>
  </sheetViews>
  <sheetFormatPr defaultColWidth="8.7109375" defaultRowHeight="15" x14ac:dyDescent="0.25"/>
  <cols>
    <col min="1" max="2" width="11" customWidth="1"/>
    <col min="3" max="3" width="14" customWidth="1"/>
    <col min="4" max="4" width="7" customWidth="1"/>
    <col min="5" max="5" width="16" customWidth="1"/>
    <col min="6" max="7" width="9" customWidth="1"/>
    <col min="8" max="8" width="10" customWidth="1"/>
    <col min="9" max="9" width="11" customWidth="1"/>
    <col min="10" max="10" width="12" customWidth="1"/>
    <col min="11" max="13" width="16" customWidth="1"/>
    <col min="14" max="14" width="18" customWidth="1"/>
    <col min="15" max="15" width="37.28515625" customWidth="1"/>
    <col min="16" max="16" width="10" customWidth="1"/>
    <col min="17" max="19" width="12" customWidth="1"/>
    <col min="20" max="20" width="37.7109375" customWidth="1"/>
    <col min="21" max="21" width="22" customWidth="1"/>
    <col min="22" max="22" width="12" customWidth="1"/>
    <col min="23" max="23" width="40" customWidth="1"/>
  </cols>
  <sheetData>
    <row r="1" spans="1:23" ht="23.25" x14ac:dyDescent="0.35">
      <c r="A1" s="20" t="s">
        <v>34</v>
      </c>
      <c r="B1" s="20"/>
      <c r="C1" s="20"/>
      <c r="D1" s="20"/>
      <c r="E1" s="20"/>
      <c r="F1" s="20"/>
      <c r="G1" s="20"/>
      <c r="H1" s="20"/>
      <c r="I1" s="20"/>
      <c r="J1" s="20"/>
      <c r="K1" s="20"/>
      <c r="L1" s="20"/>
      <c r="M1" s="20"/>
      <c r="N1" s="20"/>
      <c r="O1" s="20"/>
      <c r="P1" s="20"/>
      <c r="Q1" s="20"/>
      <c r="R1" s="20"/>
      <c r="S1" s="20"/>
      <c r="T1" s="20"/>
      <c r="U1" s="20"/>
      <c r="V1" s="20"/>
    </row>
    <row r="3" spans="1:23" ht="42" customHeight="1" x14ac:dyDescent="0.25">
      <c r="A3" s="1" t="s">
        <v>23</v>
      </c>
      <c r="B3" s="1" t="s">
        <v>35</v>
      </c>
      <c r="C3" s="1" t="s">
        <v>36</v>
      </c>
      <c r="D3" s="1" t="s">
        <v>37</v>
      </c>
      <c r="E3" s="1" t="s">
        <v>38</v>
      </c>
      <c r="F3" s="1" t="s">
        <v>39</v>
      </c>
      <c r="G3" s="1" t="s">
        <v>40</v>
      </c>
      <c r="H3" s="1" t="s">
        <v>41</v>
      </c>
      <c r="I3" s="1" t="s">
        <v>42</v>
      </c>
      <c r="J3" s="1" t="s">
        <v>43</v>
      </c>
      <c r="K3" s="1" t="s">
        <v>44</v>
      </c>
      <c r="L3" s="1" t="s">
        <v>45</v>
      </c>
      <c r="M3" s="1" t="s">
        <v>46</v>
      </c>
      <c r="N3" s="1" t="s">
        <v>47</v>
      </c>
      <c r="O3" s="1" t="s">
        <v>48</v>
      </c>
      <c r="P3" s="1" t="s">
        <v>49</v>
      </c>
      <c r="Q3" s="1" t="s">
        <v>50</v>
      </c>
      <c r="R3" s="1" t="s">
        <v>51</v>
      </c>
      <c r="S3" s="1" t="s">
        <v>52</v>
      </c>
      <c r="T3" s="1" t="s">
        <v>53</v>
      </c>
      <c r="U3" s="1" t="s">
        <v>54</v>
      </c>
      <c r="V3" s="1" t="s">
        <v>55</v>
      </c>
      <c r="W3" s="1" t="s">
        <v>56</v>
      </c>
    </row>
    <row r="4" spans="1:23" ht="90" customHeight="1" x14ac:dyDescent="0.25">
      <c r="A4" s="17">
        <v>46168</v>
      </c>
      <c r="B4" s="2" t="s">
        <v>57</v>
      </c>
      <c r="C4" s="2" t="s">
        <v>58</v>
      </c>
      <c r="D4" s="2">
        <v>2024</v>
      </c>
      <c r="E4" s="2" t="s">
        <v>59</v>
      </c>
      <c r="F4" s="2">
        <v>88</v>
      </c>
      <c r="G4" s="2" t="s">
        <v>60</v>
      </c>
      <c r="H4" s="2" t="s">
        <v>61</v>
      </c>
      <c r="I4" s="18">
        <v>35</v>
      </c>
      <c r="J4" s="2" t="s">
        <v>62</v>
      </c>
      <c r="K4" s="19" t="s">
        <v>63</v>
      </c>
      <c r="L4" s="2" t="s">
        <v>64</v>
      </c>
      <c r="M4" s="2" t="s">
        <v>65</v>
      </c>
      <c r="N4" s="2" t="s">
        <v>66</v>
      </c>
      <c r="O4" s="2" t="s">
        <v>67</v>
      </c>
      <c r="P4" s="2">
        <v>4</v>
      </c>
      <c r="Q4" s="18">
        <v>60</v>
      </c>
      <c r="R4" s="18">
        <v>70</v>
      </c>
      <c r="S4" s="18">
        <v>70</v>
      </c>
      <c r="T4" s="2" t="s">
        <v>68</v>
      </c>
      <c r="U4" s="2" t="s">
        <v>69</v>
      </c>
      <c r="V4" s="2" t="s">
        <v>70</v>
      </c>
      <c r="W4" s="4" t="s">
        <v>71</v>
      </c>
    </row>
    <row r="5" spans="1:23" ht="90" customHeight="1" x14ac:dyDescent="0.25">
      <c r="A5" s="17">
        <v>46168</v>
      </c>
      <c r="B5" s="2" t="s">
        <v>57</v>
      </c>
      <c r="C5" s="2" t="s">
        <v>72</v>
      </c>
      <c r="D5" s="2">
        <v>2024</v>
      </c>
      <c r="E5" s="2" t="s">
        <v>73</v>
      </c>
      <c r="F5" s="2" t="s">
        <v>74</v>
      </c>
      <c r="G5" s="2" t="s">
        <v>60</v>
      </c>
      <c r="H5" s="2" t="s">
        <v>75</v>
      </c>
      <c r="I5" s="18">
        <v>50</v>
      </c>
      <c r="J5" s="2" t="s">
        <v>62</v>
      </c>
      <c r="K5" s="2" t="s">
        <v>76</v>
      </c>
      <c r="L5" s="2" t="s">
        <v>77</v>
      </c>
      <c r="M5" s="2" t="s">
        <v>78</v>
      </c>
      <c r="N5" s="2" t="s">
        <v>79</v>
      </c>
      <c r="O5" s="2" t="s">
        <v>80</v>
      </c>
      <c r="P5" s="2">
        <v>5</v>
      </c>
      <c r="Q5" s="18">
        <v>60</v>
      </c>
      <c r="R5" s="18">
        <v>70</v>
      </c>
      <c r="S5" s="18">
        <v>90</v>
      </c>
      <c r="T5" s="2" t="s">
        <v>81</v>
      </c>
      <c r="U5" s="2" t="s">
        <v>82</v>
      </c>
      <c r="V5" s="2" t="s">
        <v>70</v>
      </c>
      <c r="W5" s="4" t="s">
        <v>83</v>
      </c>
    </row>
    <row r="6" spans="1:23" ht="177.75" customHeight="1" x14ac:dyDescent="0.25">
      <c r="A6" s="17">
        <v>46169</v>
      </c>
      <c r="B6" s="2" t="s">
        <v>84</v>
      </c>
      <c r="C6" s="2" t="s">
        <v>85</v>
      </c>
      <c r="D6" s="2">
        <v>2024</v>
      </c>
      <c r="E6" s="2" t="s">
        <v>86</v>
      </c>
      <c r="F6" s="2" t="s">
        <v>87</v>
      </c>
      <c r="G6" s="2" t="s">
        <v>60</v>
      </c>
      <c r="H6" s="2" t="s">
        <v>88</v>
      </c>
      <c r="I6" s="19">
        <v>20.99</v>
      </c>
      <c r="J6" s="2" t="s">
        <v>89</v>
      </c>
      <c r="K6" s="2" t="s">
        <v>90</v>
      </c>
      <c r="L6" s="2" t="s">
        <v>91</v>
      </c>
      <c r="M6" s="2" t="s">
        <v>92</v>
      </c>
      <c r="N6" s="2" t="s">
        <v>93</v>
      </c>
      <c r="O6" s="2" t="s">
        <v>94</v>
      </c>
      <c r="P6" s="2">
        <v>4</v>
      </c>
      <c r="Q6" s="18">
        <v>30</v>
      </c>
      <c r="R6" s="18">
        <v>40</v>
      </c>
      <c r="S6" s="18">
        <v>50</v>
      </c>
      <c r="T6" s="2" t="s">
        <v>95</v>
      </c>
      <c r="U6" s="2" t="s">
        <v>96</v>
      </c>
      <c r="V6" s="2" t="s">
        <v>70</v>
      </c>
      <c r="W6" s="4" t="s">
        <v>97</v>
      </c>
    </row>
    <row r="7" spans="1:23" ht="177" customHeight="1" x14ac:dyDescent="0.25">
      <c r="A7" s="17">
        <v>46169</v>
      </c>
      <c r="B7" s="2" t="s">
        <v>84</v>
      </c>
      <c r="C7" s="2" t="s">
        <v>98</v>
      </c>
      <c r="D7" s="2">
        <v>2018</v>
      </c>
      <c r="E7" s="2" t="s">
        <v>86</v>
      </c>
      <c r="F7" s="18" t="s">
        <v>99</v>
      </c>
      <c r="G7" s="2" t="s">
        <v>60</v>
      </c>
      <c r="H7" s="2"/>
      <c r="I7" s="19">
        <v>12.32</v>
      </c>
      <c r="J7" s="2" t="s">
        <v>89</v>
      </c>
      <c r="K7" s="2" t="s">
        <v>100</v>
      </c>
      <c r="L7" s="2" t="s">
        <v>101</v>
      </c>
      <c r="M7" s="2" t="s">
        <v>102</v>
      </c>
      <c r="N7" s="2" t="s">
        <v>103</v>
      </c>
      <c r="O7" s="2" t="s">
        <v>104</v>
      </c>
      <c r="P7" s="2">
        <v>3</v>
      </c>
      <c r="Q7" s="18">
        <v>33</v>
      </c>
      <c r="R7" s="18">
        <v>40</v>
      </c>
      <c r="S7" s="18">
        <v>40</v>
      </c>
      <c r="T7" s="2" t="s">
        <v>105</v>
      </c>
      <c r="U7" s="2" t="s">
        <v>96</v>
      </c>
      <c r="V7" s="2" t="s">
        <v>106</v>
      </c>
      <c r="W7" s="4" t="s">
        <v>107</v>
      </c>
    </row>
    <row r="8" spans="1:23" ht="188.25" customHeight="1" x14ac:dyDescent="0.25">
      <c r="A8" s="17">
        <v>46170</v>
      </c>
      <c r="B8" s="2" t="s">
        <v>84</v>
      </c>
      <c r="C8" s="2" t="s">
        <v>108</v>
      </c>
      <c r="D8" s="2">
        <v>2023</v>
      </c>
      <c r="E8" s="2" t="s">
        <v>109</v>
      </c>
      <c r="F8" s="18">
        <v>209</v>
      </c>
      <c r="G8" s="2" t="s">
        <v>60</v>
      </c>
      <c r="H8" s="2"/>
      <c r="I8" s="19">
        <v>6.31</v>
      </c>
      <c r="J8" s="2" t="s">
        <v>89</v>
      </c>
      <c r="K8" s="2" t="s">
        <v>110</v>
      </c>
      <c r="L8" s="2" t="s">
        <v>111</v>
      </c>
      <c r="M8" s="2" t="s">
        <v>112</v>
      </c>
      <c r="N8" s="2" t="s">
        <v>113</v>
      </c>
      <c r="O8" s="2" t="s">
        <v>114</v>
      </c>
      <c r="P8" s="2">
        <v>5</v>
      </c>
      <c r="Q8" s="18">
        <v>10</v>
      </c>
      <c r="R8" s="18">
        <v>15</v>
      </c>
      <c r="S8" s="18">
        <v>20</v>
      </c>
      <c r="T8" s="2" t="s">
        <v>115</v>
      </c>
      <c r="U8" s="2" t="s">
        <v>96</v>
      </c>
      <c r="V8" s="2" t="s">
        <v>116</v>
      </c>
      <c r="W8" s="4" t="s">
        <v>117</v>
      </c>
    </row>
    <row r="9" spans="1:23" ht="148.5" customHeight="1" x14ac:dyDescent="0.25">
      <c r="A9" s="17">
        <v>46175</v>
      </c>
      <c r="B9" s="2" t="s">
        <v>57</v>
      </c>
      <c r="C9" s="2" t="s">
        <v>118</v>
      </c>
      <c r="D9" s="2">
        <v>2025</v>
      </c>
      <c r="E9" s="2" t="s">
        <v>119</v>
      </c>
      <c r="F9" s="2" t="s">
        <v>120</v>
      </c>
      <c r="G9" s="2" t="s">
        <v>60</v>
      </c>
      <c r="H9" s="2"/>
      <c r="I9" s="19">
        <v>246.89</v>
      </c>
      <c r="J9" s="2" t="s">
        <v>89</v>
      </c>
      <c r="K9" s="2" t="s">
        <v>121</v>
      </c>
      <c r="L9" s="2" t="s">
        <v>78</v>
      </c>
      <c r="M9" s="2" t="s">
        <v>78</v>
      </c>
      <c r="N9" s="2" t="s">
        <v>66</v>
      </c>
      <c r="O9" s="2" t="s">
        <v>122</v>
      </c>
      <c r="P9" s="2">
        <v>5</v>
      </c>
      <c r="Q9" s="18">
        <v>265</v>
      </c>
      <c r="R9" s="18">
        <v>280</v>
      </c>
      <c r="S9" s="18">
        <v>300</v>
      </c>
      <c r="T9" s="2" t="s">
        <v>123</v>
      </c>
      <c r="U9" s="2" t="s">
        <v>124</v>
      </c>
      <c r="V9" s="2">
        <v>30</v>
      </c>
      <c r="W9" s="4" t="s">
        <v>125</v>
      </c>
    </row>
    <row r="10" spans="1:23" ht="60" customHeight="1" x14ac:dyDescent="0.25">
      <c r="A10" s="2"/>
      <c r="B10" s="2"/>
      <c r="C10" s="2"/>
      <c r="D10" s="2"/>
      <c r="E10" s="2"/>
      <c r="F10" s="2"/>
      <c r="G10" s="2"/>
      <c r="H10" s="2"/>
      <c r="I10" s="2"/>
      <c r="J10" s="2"/>
      <c r="K10" s="2"/>
      <c r="L10" s="2"/>
      <c r="M10" s="2"/>
      <c r="N10" s="2"/>
      <c r="O10" s="2"/>
      <c r="P10" s="2"/>
      <c r="Q10" s="2"/>
      <c r="R10" s="2"/>
      <c r="S10" s="2"/>
      <c r="T10" s="2"/>
      <c r="U10" s="2"/>
      <c r="V10" s="2"/>
      <c r="W10" s="4"/>
    </row>
    <row r="11" spans="1:23" ht="60" customHeight="1" x14ac:dyDescent="0.25">
      <c r="A11" s="2"/>
      <c r="B11" s="2"/>
      <c r="C11" s="2"/>
      <c r="D11" s="2"/>
      <c r="E11" s="2"/>
      <c r="F11" s="2"/>
      <c r="G11" s="2"/>
      <c r="H11" s="2"/>
      <c r="I11" s="2"/>
      <c r="J11" s="2"/>
      <c r="K11" s="2"/>
      <c r="L11" s="2"/>
      <c r="M11" s="2"/>
      <c r="N11" s="2"/>
      <c r="O11" s="2"/>
      <c r="P11" s="2"/>
      <c r="Q11" s="2"/>
      <c r="R11" s="2"/>
      <c r="S11" s="2"/>
      <c r="T11" s="2"/>
      <c r="U11" s="2"/>
      <c r="V11" s="2"/>
      <c r="W11" s="4"/>
    </row>
    <row r="12" spans="1:23" ht="60" customHeight="1" x14ac:dyDescent="0.25">
      <c r="A12" s="2"/>
      <c r="B12" s="2"/>
      <c r="C12" s="2"/>
      <c r="D12" s="2"/>
      <c r="E12" s="2"/>
      <c r="F12" s="2"/>
      <c r="G12" s="2"/>
      <c r="H12" s="2"/>
      <c r="I12" s="2"/>
      <c r="J12" s="2"/>
      <c r="K12" s="2"/>
      <c r="L12" s="2"/>
      <c r="M12" s="2"/>
      <c r="N12" s="2"/>
      <c r="O12" s="2"/>
      <c r="P12" s="2"/>
      <c r="Q12" s="2"/>
      <c r="R12" s="2"/>
      <c r="S12" s="2"/>
      <c r="T12" s="2"/>
      <c r="U12" s="2"/>
      <c r="V12" s="2"/>
      <c r="W12" s="4"/>
    </row>
    <row r="13" spans="1:23" ht="60" customHeight="1" x14ac:dyDescent="0.25">
      <c r="A13" s="2"/>
      <c r="B13" s="2"/>
      <c r="C13" s="2"/>
      <c r="D13" s="2"/>
      <c r="E13" s="2"/>
      <c r="F13" s="2"/>
      <c r="G13" s="2"/>
      <c r="H13" s="2"/>
      <c r="I13" s="2"/>
      <c r="J13" s="2"/>
      <c r="K13" s="2"/>
      <c r="L13" s="2"/>
      <c r="M13" s="2"/>
      <c r="N13" s="2"/>
      <c r="O13" s="2"/>
      <c r="P13" s="2"/>
      <c r="Q13" s="2"/>
      <c r="R13" s="2"/>
      <c r="S13" s="2"/>
      <c r="T13" s="2"/>
      <c r="U13" s="2"/>
      <c r="V13" s="2"/>
      <c r="W13" s="4"/>
    </row>
    <row r="14" spans="1:23" ht="60" customHeight="1" x14ac:dyDescent="0.25">
      <c r="A14" s="2"/>
      <c r="B14" s="2"/>
      <c r="C14" s="2"/>
      <c r="D14" s="2"/>
      <c r="E14" s="2"/>
      <c r="F14" s="2"/>
      <c r="G14" s="2"/>
      <c r="H14" s="2"/>
      <c r="I14" s="2"/>
      <c r="J14" s="2"/>
      <c r="K14" s="2"/>
      <c r="L14" s="2"/>
      <c r="M14" s="2"/>
      <c r="N14" s="2"/>
      <c r="O14" s="2"/>
      <c r="P14" s="2"/>
      <c r="Q14" s="2"/>
      <c r="R14" s="2"/>
      <c r="S14" s="2"/>
      <c r="T14" s="2"/>
      <c r="U14" s="2"/>
      <c r="V14" s="2"/>
      <c r="W14" s="4"/>
    </row>
    <row r="15" spans="1:23" ht="60" customHeight="1" x14ac:dyDescent="0.25">
      <c r="A15" s="2"/>
      <c r="B15" s="2"/>
      <c r="C15" s="2"/>
      <c r="D15" s="2"/>
      <c r="E15" s="2"/>
      <c r="F15" s="2"/>
      <c r="G15" s="2"/>
      <c r="H15" s="2"/>
      <c r="I15" s="2"/>
      <c r="J15" s="2"/>
      <c r="K15" s="2"/>
      <c r="L15" s="2"/>
      <c r="M15" s="2"/>
      <c r="N15" s="2"/>
      <c r="O15" s="2"/>
      <c r="P15" s="2"/>
      <c r="Q15" s="2"/>
      <c r="R15" s="2"/>
      <c r="S15" s="2"/>
      <c r="T15" s="2"/>
      <c r="U15" s="2"/>
      <c r="V15" s="2"/>
      <c r="W15" s="4"/>
    </row>
    <row r="16" spans="1:23" ht="60" customHeight="1" x14ac:dyDescent="0.25">
      <c r="A16" s="2"/>
      <c r="B16" s="2"/>
      <c r="C16" s="2"/>
      <c r="D16" s="2"/>
      <c r="E16" s="2"/>
      <c r="F16" s="2"/>
      <c r="G16" s="2"/>
      <c r="H16" s="2"/>
      <c r="I16" s="2"/>
      <c r="J16" s="2"/>
      <c r="K16" s="2"/>
      <c r="L16" s="2"/>
      <c r="M16" s="2"/>
      <c r="N16" s="2"/>
      <c r="O16" s="2"/>
      <c r="P16" s="2"/>
      <c r="Q16" s="2"/>
      <c r="R16" s="2"/>
      <c r="S16" s="2"/>
      <c r="T16" s="2"/>
      <c r="U16" s="2"/>
      <c r="V16" s="2"/>
      <c r="W16" s="4"/>
    </row>
    <row r="17" spans="1:23" ht="60" customHeight="1" x14ac:dyDescent="0.25">
      <c r="A17" s="2"/>
      <c r="B17" s="2"/>
      <c r="C17" s="2"/>
      <c r="D17" s="2"/>
      <c r="E17" s="2"/>
      <c r="F17" s="2"/>
      <c r="G17" s="2"/>
      <c r="H17" s="2"/>
      <c r="I17" s="2"/>
      <c r="J17" s="2"/>
      <c r="K17" s="2"/>
      <c r="L17" s="2"/>
      <c r="M17" s="2"/>
      <c r="N17" s="2"/>
      <c r="O17" s="2"/>
      <c r="P17" s="2"/>
      <c r="Q17" s="2"/>
      <c r="R17" s="2"/>
      <c r="S17" s="2"/>
      <c r="T17" s="2"/>
      <c r="U17" s="2"/>
      <c r="V17" s="2"/>
      <c r="W17" s="4"/>
    </row>
    <row r="18" spans="1:23" ht="60" customHeight="1" x14ac:dyDescent="0.25">
      <c r="A18" s="2"/>
      <c r="B18" s="2"/>
      <c r="C18" s="2"/>
      <c r="D18" s="2"/>
      <c r="E18" s="2"/>
      <c r="F18" s="2"/>
      <c r="G18" s="2"/>
      <c r="H18" s="2"/>
      <c r="I18" s="2"/>
      <c r="J18" s="2"/>
      <c r="K18" s="2"/>
      <c r="L18" s="2"/>
      <c r="M18" s="2"/>
      <c r="N18" s="2"/>
      <c r="O18" s="2"/>
      <c r="P18" s="2"/>
      <c r="Q18" s="2"/>
      <c r="R18" s="2"/>
      <c r="S18" s="2"/>
      <c r="T18" s="2"/>
      <c r="U18" s="2"/>
      <c r="V18" s="2"/>
      <c r="W18" s="4"/>
    </row>
    <row r="19" spans="1:23" ht="60" customHeight="1" x14ac:dyDescent="0.25">
      <c r="A19" s="2"/>
      <c r="B19" s="2"/>
      <c r="C19" s="2"/>
      <c r="D19" s="2"/>
      <c r="E19" s="2"/>
      <c r="F19" s="2"/>
      <c r="G19" s="2"/>
      <c r="H19" s="2"/>
      <c r="I19" s="2"/>
      <c r="J19" s="2"/>
      <c r="K19" s="2"/>
      <c r="L19" s="2"/>
      <c r="M19" s="2"/>
      <c r="N19" s="2"/>
      <c r="O19" s="2"/>
      <c r="P19" s="2"/>
      <c r="Q19" s="2"/>
      <c r="R19" s="2"/>
      <c r="S19" s="2"/>
      <c r="T19" s="2"/>
      <c r="U19" s="2"/>
      <c r="V19" s="2"/>
      <c r="W19" s="4"/>
    </row>
    <row r="20" spans="1:23" ht="60" customHeight="1" x14ac:dyDescent="0.25">
      <c r="A20" s="2"/>
      <c r="B20" s="2"/>
      <c r="C20" s="2"/>
      <c r="D20" s="2"/>
      <c r="E20" s="2"/>
      <c r="F20" s="2"/>
      <c r="G20" s="2"/>
      <c r="H20" s="2"/>
      <c r="I20" s="2"/>
      <c r="J20" s="2"/>
      <c r="K20" s="2"/>
      <c r="L20" s="2"/>
      <c r="M20" s="2"/>
      <c r="N20" s="2"/>
      <c r="O20" s="2"/>
      <c r="P20" s="2"/>
      <c r="Q20" s="2"/>
      <c r="R20" s="2"/>
      <c r="S20" s="2"/>
      <c r="T20" s="2"/>
      <c r="U20" s="2"/>
      <c r="V20" s="2"/>
      <c r="W20" s="4"/>
    </row>
    <row r="21" spans="1:23" ht="60" customHeight="1" x14ac:dyDescent="0.25">
      <c r="A21" s="2"/>
      <c r="B21" s="2"/>
      <c r="C21" s="2"/>
      <c r="D21" s="2"/>
      <c r="E21" s="2"/>
      <c r="F21" s="2"/>
      <c r="G21" s="2"/>
      <c r="H21" s="2"/>
      <c r="I21" s="2"/>
      <c r="J21" s="2"/>
      <c r="K21" s="2"/>
      <c r="L21" s="2"/>
      <c r="M21" s="2"/>
      <c r="N21" s="2"/>
      <c r="O21" s="2"/>
      <c r="P21" s="2"/>
      <c r="Q21" s="2"/>
      <c r="R21" s="2"/>
      <c r="S21" s="2"/>
      <c r="T21" s="2"/>
      <c r="U21" s="2"/>
      <c r="V21" s="2"/>
      <c r="W21" s="4"/>
    </row>
    <row r="22" spans="1:23" ht="60" customHeight="1" x14ac:dyDescent="0.25">
      <c r="A22" s="2"/>
      <c r="B22" s="2"/>
      <c r="C22" s="2"/>
      <c r="D22" s="2"/>
      <c r="E22" s="2"/>
      <c r="F22" s="2"/>
      <c r="G22" s="2"/>
      <c r="H22" s="2"/>
      <c r="I22" s="2"/>
      <c r="J22" s="2"/>
      <c r="K22" s="2"/>
      <c r="L22" s="2"/>
      <c r="M22" s="2"/>
      <c r="N22" s="2"/>
      <c r="O22" s="2"/>
      <c r="P22" s="2"/>
      <c r="Q22" s="2"/>
      <c r="R22" s="2"/>
      <c r="S22" s="2"/>
      <c r="T22" s="2"/>
      <c r="U22" s="2"/>
      <c r="V22" s="2"/>
      <c r="W22" s="4"/>
    </row>
    <row r="23" spans="1:23" ht="60" customHeight="1" x14ac:dyDescent="0.25">
      <c r="A23" s="2"/>
      <c r="B23" s="2"/>
      <c r="C23" s="2"/>
      <c r="D23" s="2"/>
      <c r="E23" s="2"/>
      <c r="F23" s="2"/>
      <c r="G23" s="2"/>
      <c r="H23" s="2"/>
      <c r="I23" s="2"/>
      <c r="J23" s="2"/>
      <c r="K23" s="2"/>
      <c r="L23" s="2"/>
      <c r="M23" s="2"/>
      <c r="N23" s="2"/>
      <c r="O23" s="2"/>
      <c r="P23" s="2"/>
      <c r="Q23" s="2"/>
      <c r="R23" s="2"/>
      <c r="S23" s="2"/>
      <c r="T23" s="2"/>
      <c r="U23" s="2"/>
      <c r="V23" s="2"/>
      <c r="W23" s="4"/>
    </row>
    <row r="24" spans="1:23" ht="60" customHeight="1" x14ac:dyDescent="0.25">
      <c r="A24" s="2"/>
      <c r="B24" s="2"/>
      <c r="C24" s="2"/>
      <c r="D24" s="2"/>
      <c r="E24" s="2"/>
      <c r="F24" s="2"/>
      <c r="G24" s="2"/>
      <c r="H24" s="2"/>
      <c r="I24" s="2"/>
      <c r="J24" s="2"/>
      <c r="K24" s="2"/>
      <c r="L24" s="2"/>
      <c r="M24" s="2"/>
      <c r="N24" s="2"/>
      <c r="O24" s="2"/>
      <c r="P24" s="2"/>
      <c r="Q24" s="2"/>
      <c r="R24" s="2"/>
      <c r="S24" s="2"/>
      <c r="T24" s="2"/>
      <c r="U24" s="2"/>
      <c r="V24" s="2"/>
      <c r="W24" s="4"/>
    </row>
    <row r="25" spans="1:23" ht="60" customHeight="1" x14ac:dyDescent="0.25">
      <c r="A25" s="2"/>
      <c r="B25" s="2"/>
      <c r="C25" s="2"/>
      <c r="D25" s="2"/>
      <c r="E25" s="2"/>
      <c r="F25" s="2"/>
      <c r="G25" s="2"/>
      <c r="H25" s="2"/>
      <c r="I25" s="2"/>
      <c r="J25" s="2"/>
      <c r="K25" s="2"/>
      <c r="L25" s="2"/>
      <c r="M25" s="2"/>
      <c r="N25" s="2"/>
      <c r="O25" s="2"/>
      <c r="P25" s="2"/>
      <c r="Q25" s="2"/>
      <c r="R25" s="2"/>
      <c r="S25" s="2"/>
      <c r="T25" s="2"/>
      <c r="U25" s="2"/>
      <c r="V25" s="2"/>
      <c r="W25" s="4"/>
    </row>
    <row r="26" spans="1:23" ht="60" customHeight="1" x14ac:dyDescent="0.25">
      <c r="A26" s="2"/>
      <c r="B26" s="2"/>
      <c r="C26" s="2"/>
      <c r="D26" s="2"/>
      <c r="E26" s="2"/>
      <c r="F26" s="2"/>
      <c r="G26" s="2"/>
      <c r="H26" s="2"/>
      <c r="I26" s="2"/>
      <c r="J26" s="2"/>
      <c r="K26" s="2"/>
      <c r="L26" s="2"/>
      <c r="M26" s="2"/>
      <c r="N26" s="2"/>
      <c r="O26" s="2"/>
      <c r="P26" s="2"/>
      <c r="Q26" s="2"/>
      <c r="R26" s="2"/>
      <c r="S26" s="2"/>
      <c r="T26" s="2"/>
      <c r="U26" s="2"/>
      <c r="V26" s="2"/>
      <c r="W26" s="4"/>
    </row>
    <row r="27" spans="1:23" ht="60" customHeight="1" x14ac:dyDescent="0.25">
      <c r="A27" s="2"/>
      <c r="B27" s="2"/>
      <c r="C27" s="2"/>
      <c r="D27" s="2"/>
      <c r="E27" s="2"/>
      <c r="F27" s="2"/>
      <c r="G27" s="2"/>
      <c r="H27" s="2"/>
      <c r="I27" s="2"/>
      <c r="J27" s="2"/>
      <c r="K27" s="2"/>
      <c r="L27" s="2"/>
      <c r="M27" s="2"/>
      <c r="N27" s="2"/>
      <c r="O27" s="2"/>
      <c r="P27" s="2"/>
      <c r="Q27" s="2"/>
      <c r="R27" s="2"/>
      <c r="S27" s="2"/>
      <c r="T27" s="2"/>
      <c r="U27" s="2"/>
      <c r="V27" s="2"/>
      <c r="W27" s="4"/>
    </row>
    <row r="28" spans="1:23" ht="60" customHeight="1" x14ac:dyDescent="0.25">
      <c r="A28" s="2"/>
      <c r="B28" s="2"/>
      <c r="C28" s="2"/>
      <c r="D28" s="2"/>
      <c r="E28" s="2"/>
      <c r="F28" s="2"/>
      <c r="G28" s="2"/>
      <c r="H28" s="2"/>
      <c r="I28" s="2"/>
      <c r="J28" s="2"/>
      <c r="K28" s="2"/>
      <c r="L28" s="2"/>
      <c r="M28" s="2"/>
      <c r="N28" s="2"/>
      <c r="O28" s="2"/>
      <c r="P28" s="2"/>
      <c r="Q28" s="2"/>
      <c r="R28" s="2"/>
      <c r="S28" s="2"/>
      <c r="T28" s="2"/>
      <c r="U28" s="2"/>
      <c r="V28" s="2"/>
      <c r="W28" s="4"/>
    </row>
    <row r="29" spans="1:23" ht="60" customHeight="1" x14ac:dyDescent="0.25">
      <c r="A29" s="2"/>
      <c r="B29" s="2"/>
      <c r="C29" s="2"/>
      <c r="D29" s="2"/>
      <c r="E29" s="2"/>
      <c r="F29" s="2"/>
      <c r="G29" s="2"/>
      <c r="H29" s="2"/>
      <c r="I29" s="2"/>
      <c r="J29" s="2"/>
      <c r="K29" s="2"/>
      <c r="L29" s="2"/>
      <c r="M29" s="2"/>
      <c r="N29" s="2"/>
      <c r="O29" s="2"/>
      <c r="P29" s="2"/>
      <c r="Q29" s="2"/>
      <c r="R29" s="2"/>
      <c r="S29" s="2"/>
      <c r="T29" s="2"/>
      <c r="U29" s="2"/>
      <c r="V29" s="2"/>
      <c r="W29" s="4"/>
    </row>
    <row r="30" spans="1:23" ht="60" customHeight="1" x14ac:dyDescent="0.25">
      <c r="A30" s="2"/>
      <c r="B30" s="2"/>
      <c r="C30" s="2"/>
      <c r="D30" s="2"/>
      <c r="E30" s="2"/>
      <c r="F30" s="2"/>
      <c r="G30" s="2"/>
      <c r="H30" s="2"/>
      <c r="I30" s="2"/>
      <c r="J30" s="2"/>
      <c r="K30" s="2"/>
      <c r="L30" s="2"/>
      <c r="M30" s="2"/>
      <c r="N30" s="2"/>
      <c r="O30" s="2"/>
      <c r="P30" s="2"/>
      <c r="Q30" s="2"/>
      <c r="R30" s="2"/>
      <c r="S30" s="2"/>
      <c r="T30" s="2"/>
      <c r="U30" s="2"/>
      <c r="V30" s="2"/>
      <c r="W30" s="4"/>
    </row>
    <row r="31" spans="1:23" ht="60" customHeight="1" x14ac:dyDescent="0.25">
      <c r="A31" s="2"/>
      <c r="B31" s="2"/>
      <c r="C31" s="2"/>
      <c r="D31" s="2"/>
      <c r="E31" s="2"/>
      <c r="F31" s="2"/>
      <c r="G31" s="2"/>
      <c r="H31" s="2"/>
      <c r="I31" s="2"/>
      <c r="J31" s="2"/>
      <c r="K31" s="2"/>
      <c r="L31" s="2"/>
      <c r="M31" s="2"/>
      <c r="N31" s="2"/>
      <c r="O31" s="2"/>
      <c r="P31" s="2"/>
      <c r="Q31" s="2"/>
      <c r="R31" s="2"/>
      <c r="S31" s="2"/>
      <c r="T31" s="2"/>
      <c r="U31" s="2"/>
      <c r="V31" s="2"/>
      <c r="W31" s="4"/>
    </row>
    <row r="32" spans="1:23" ht="60" customHeight="1" x14ac:dyDescent="0.25">
      <c r="A32" s="2"/>
      <c r="B32" s="2"/>
      <c r="C32" s="2"/>
      <c r="D32" s="2"/>
      <c r="E32" s="2"/>
      <c r="F32" s="2"/>
      <c r="G32" s="2"/>
      <c r="H32" s="2"/>
      <c r="I32" s="2"/>
      <c r="J32" s="2"/>
      <c r="K32" s="2"/>
      <c r="L32" s="2"/>
      <c r="M32" s="2"/>
      <c r="N32" s="2"/>
      <c r="O32" s="2"/>
      <c r="P32" s="2"/>
      <c r="Q32" s="2"/>
      <c r="R32" s="2"/>
      <c r="S32" s="2"/>
      <c r="T32" s="2"/>
      <c r="U32" s="2"/>
      <c r="V32" s="2"/>
      <c r="W32" s="4"/>
    </row>
    <row r="33" spans="1:23" ht="60" customHeight="1" x14ac:dyDescent="0.25">
      <c r="A33" s="2"/>
      <c r="B33" s="2"/>
      <c r="C33" s="2"/>
      <c r="D33" s="2"/>
      <c r="E33" s="2"/>
      <c r="F33" s="2"/>
      <c r="G33" s="2"/>
      <c r="H33" s="2"/>
      <c r="I33" s="2"/>
      <c r="J33" s="2"/>
      <c r="K33" s="2"/>
      <c r="L33" s="2"/>
      <c r="M33" s="2"/>
      <c r="N33" s="2"/>
      <c r="O33" s="2"/>
      <c r="P33" s="2"/>
      <c r="Q33" s="2"/>
      <c r="R33" s="2"/>
      <c r="S33" s="2"/>
      <c r="T33" s="2"/>
      <c r="U33" s="2"/>
      <c r="V33" s="2"/>
      <c r="W33" s="4"/>
    </row>
    <row r="34" spans="1:23" ht="60" customHeight="1" x14ac:dyDescent="0.25">
      <c r="A34" s="2"/>
      <c r="B34" s="2"/>
      <c r="C34" s="2"/>
      <c r="D34" s="2"/>
      <c r="E34" s="2"/>
      <c r="F34" s="2"/>
      <c r="G34" s="2"/>
      <c r="H34" s="2"/>
      <c r="I34" s="2"/>
      <c r="J34" s="2"/>
      <c r="K34" s="2"/>
      <c r="L34" s="2"/>
      <c r="M34" s="2"/>
      <c r="N34" s="2"/>
      <c r="O34" s="2"/>
      <c r="P34" s="2"/>
      <c r="Q34" s="2"/>
      <c r="R34" s="2"/>
      <c r="S34" s="2"/>
      <c r="T34" s="2"/>
      <c r="U34" s="2"/>
      <c r="V34" s="2"/>
      <c r="W34" s="4"/>
    </row>
    <row r="35" spans="1:23" ht="60" customHeight="1" x14ac:dyDescent="0.25">
      <c r="A35" s="2"/>
      <c r="B35" s="2"/>
      <c r="C35" s="2"/>
      <c r="D35" s="2"/>
      <c r="E35" s="2"/>
      <c r="F35" s="2"/>
      <c r="G35" s="2"/>
      <c r="H35" s="2"/>
      <c r="I35" s="2"/>
      <c r="J35" s="2"/>
      <c r="K35" s="2"/>
      <c r="L35" s="2"/>
      <c r="M35" s="2"/>
      <c r="N35" s="2"/>
      <c r="O35" s="2"/>
      <c r="P35" s="2"/>
      <c r="Q35" s="2"/>
      <c r="R35" s="2"/>
      <c r="S35" s="2"/>
      <c r="T35" s="2"/>
      <c r="U35" s="2"/>
      <c r="V35" s="2"/>
      <c r="W35" s="4"/>
    </row>
  </sheetData>
  <mergeCells count="1">
    <mergeCell ref="A1:V1"/>
  </mergeCells>
  <dataValidations count="3">
    <dataValidation type="list" allowBlank="1" errorTitle="Invalid signal" error="Pick one of the listed signals (or add to taxonomy in README)." sqref="N4:N100" xr:uid="{00000000-0002-0000-0200-000000000000}">
      <formula1>"Catalyst,Undervalued vs comps,Pop report shift,Prediction market signal,Set/parallel scarcity,Player trajectory,Aesthetic/iconic,Grade arbitrage,Gut/vibe"</formula1>
      <formula2>0</formula2>
    </dataValidation>
    <dataValidation type="list" allowBlank="1" sqref="B4:B100" xr:uid="{00000000-0002-0000-0200-000001000000}">
      <formula1>"Carson,Kain"</formula1>
      <formula2>0</formula2>
    </dataValidation>
    <dataValidation type="whole" allowBlank="1" error="Confidence must be a whole number 1–5." sqref="P4:P100" xr:uid="{00000000-0002-0000-0200-000002000000}">
      <formula1>1</formula1>
      <formula2>5</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9"/>
  <sheetViews>
    <sheetView zoomScaleNormal="100" workbookViewId="0">
      <pane ySplit="3" topLeftCell="A4" activePane="bottomLeft" state="frozen"/>
      <selection pane="bottomLeft" activeCell="A4" sqref="A4"/>
    </sheetView>
  </sheetViews>
  <sheetFormatPr defaultColWidth="8.7109375" defaultRowHeight="15" x14ac:dyDescent="0.25"/>
  <cols>
    <col min="1" max="2" width="11" customWidth="1"/>
    <col min="3" max="3" width="30" customWidth="1"/>
    <col min="4" max="6" width="12" customWidth="1"/>
    <col min="7" max="7" width="9" customWidth="1"/>
    <col min="8" max="8" width="13" customWidth="1"/>
    <col min="9" max="9" width="10" customWidth="1"/>
    <col min="10" max="10" width="22" customWidth="1"/>
    <col min="11" max="11" width="14" customWidth="1"/>
    <col min="12" max="12" width="22" customWidth="1"/>
    <col min="13" max="13" width="36" customWidth="1"/>
    <col min="15" max="15" width="28" customWidth="1"/>
    <col min="16" max="16" width="14" customWidth="1"/>
  </cols>
  <sheetData>
    <row r="1" spans="1:16" ht="23.25" x14ac:dyDescent="0.35">
      <c r="A1" s="20" t="s">
        <v>126</v>
      </c>
      <c r="B1" s="20"/>
      <c r="C1" s="20"/>
      <c r="D1" s="20"/>
      <c r="E1" s="20"/>
      <c r="F1" s="20"/>
      <c r="G1" s="20"/>
      <c r="H1" s="20"/>
      <c r="I1" s="20"/>
      <c r="J1" s="20"/>
      <c r="K1" s="20"/>
      <c r="L1" s="20"/>
    </row>
    <row r="3" spans="1:16" ht="42" customHeight="1" x14ac:dyDescent="0.25">
      <c r="A3" s="1" t="s">
        <v>127</v>
      </c>
      <c r="B3" s="1" t="s">
        <v>128</v>
      </c>
      <c r="C3" s="1" t="s">
        <v>129</v>
      </c>
      <c r="D3" s="1" t="s">
        <v>130</v>
      </c>
      <c r="E3" s="1" t="s">
        <v>131</v>
      </c>
      <c r="F3" s="1" t="s">
        <v>132</v>
      </c>
      <c r="G3" s="1" t="s">
        <v>133</v>
      </c>
      <c r="H3" s="1" t="s">
        <v>134</v>
      </c>
      <c r="I3" s="1" t="s">
        <v>135</v>
      </c>
      <c r="J3" s="1" t="s">
        <v>136</v>
      </c>
      <c r="K3" s="1" t="s">
        <v>137</v>
      </c>
      <c r="L3" s="1" t="s">
        <v>138</v>
      </c>
      <c r="M3" s="1" t="s">
        <v>139</v>
      </c>
      <c r="O3" s="5" t="s">
        <v>140</v>
      </c>
    </row>
    <row r="4" spans="1:16" ht="79.5" customHeight="1" x14ac:dyDescent="0.25">
      <c r="A4" s="2"/>
      <c r="B4" s="2"/>
      <c r="C4" s="2"/>
      <c r="D4" s="2"/>
      <c r="E4" s="6"/>
      <c r="F4" s="6"/>
      <c r="G4" s="6"/>
      <c r="H4" s="7">
        <f>F4-G4-E4</f>
        <v>0</v>
      </c>
      <c r="I4" s="8" t="str">
        <f t="shared" ref="I4:I29" si="0">IFERROR((F4-G4-E4)/E4,"")</f>
        <v/>
      </c>
      <c r="J4" s="2"/>
      <c r="K4" s="2"/>
      <c r="L4" s="2"/>
      <c r="M4" s="2"/>
      <c r="O4" s="9" t="s">
        <v>141</v>
      </c>
      <c r="P4" s="10">
        <f>COUNTA(A4:A100)</f>
        <v>0</v>
      </c>
    </row>
    <row r="5" spans="1:16" ht="60" customHeight="1" x14ac:dyDescent="0.25">
      <c r="A5" s="2"/>
      <c r="B5" s="2"/>
      <c r="C5" s="2"/>
      <c r="D5" s="2"/>
      <c r="E5" s="6"/>
      <c r="F5" s="6"/>
      <c r="G5" s="6"/>
      <c r="H5" s="7">
        <f t="shared" ref="H5:H29" si="1">IFERROR(F5-G5-E5,"")</f>
        <v>0</v>
      </c>
      <c r="I5" s="8" t="str">
        <f t="shared" si="0"/>
        <v/>
      </c>
      <c r="J5" s="2"/>
      <c r="K5" s="2"/>
      <c r="L5" s="2"/>
      <c r="M5" s="2"/>
      <c r="O5" s="9" t="s">
        <v>142</v>
      </c>
      <c r="P5" s="10">
        <f>COUNTIF(H4:H100,"&gt;0")</f>
        <v>0</v>
      </c>
    </row>
    <row r="6" spans="1:16" ht="60" customHeight="1" x14ac:dyDescent="0.25">
      <c r="A6" s="2"/>
      <c r="B6" s="2"/>
      <c r="C6" s="2"/>
      <c r="D6" s="2"/>
      <c r="E6" s="6"/>
      <c r="F6" s="6"/>
      <c r="G6" s="6"/>
      <c r="H6" s="7">
        <f t="shared" si="1"/>
        <v>0</v>
      </c>
      <c r="I6" s="8" t="str">
        <f t="shared" si="0"/>
        <v/>
      </c>
      <c r="J6" s="2"/>
      <c r="K6" s="2"/>
      <c r="L6" s="2"/>
      <c r="M6" s="2"/>
      <c r="O6" s="9" t="s">
        <v>143</v>
      </c>
      <c r="P6" s="10">
        <f>COUNTIF(H4:H100,"&lt;0")</f>
        <v>0</v>
      </c>
    </row>
    <row r="7" spans="1:16" ht="60" customHeight="1" x14ac:dyDescent="0.25">
      <c r="A7" s="2"/>
      <c r="B7" s="2"/>
      <c r="C7" s="2"/>
      <c r="D7" s="2"/>
      <c r="E7" s="6"/>
      <c r="F7" s="6"/>
      <c r="G7" s="6"/>
      <c r="H7" s="7">
        <f t="shared" si="1"/>
        <v>0</v>
      </c>
      <c r="I7" s="8" t="str">
        <f t="shared" si="0"/>
        <v/>
      </c>
      <c r="J7" s="2"/>
      <c r="K7" s="2"/>
      <c r="L7" s="2"/>
      <c r="M7" s="2"/>
      <c r="O7" s="9" t="s">
        <v>144</v>
      </c>
      <c r="P7" s="11" t="str">
        <f>IFERROR(P5/P4,"")</f>
        <v/>
      </c>
    </row>
    <row r="8" spans="1:16" ht="60" customHeight="1" x14ac:dyDescent="0.25">
      <c r="A8" s="2"/>
      <c r="B8" s="2"/>
      <c r="C8" s="2"/>
      <c r="D8" s="2"/>
      <c r="E8" s="6"/>
      <c r="F8" s="6"/>
      <c r="G8" s="6"/>
      <c r="H8" s="7">
        <f t="shared" si="1"/>
        <v>0</v>
      </c>
      <c r="I8" s="8" t="str">
        <f t="shared" si="0"/>
        <v/>
      </c>
      <c r="J8" s="2"/>
      <c r="K8" s="2"/>
      <c r="L8" s="2"/>
      <c r="M8" s="2"/>
      <c r="O8" s="9" t="s">
        <v>145</v>
      </c>
      <c r="P8" s="12">
        <f>SUM(H4:H100)</f>
        <v>0</v>
      </c>
    </row>
    <row r="9" spans="1:16" ht="60" customHeight="1" x14ac:dyDescent="0.25">
      <c r="A9" s="2"/>
      <c r="B9" s="2"/>
      <c r="C9" s="2"/>
      <c r="D9" s="2"/>
      <c r="E9" s="6"/>
      <c r="F9" s="6"/>
      <c r="G9" s="6"/>
      <c r="H9" s="7">
        <f t="shared" si="1"/>
        <v>0</v>
      </c>
      <c r="I9" s="8" t="str">
        <f t="shared" si="0"/>
        <v/>
      </c>
      <c r="J9" s="2"/>
      <c r="K9" s="2"/>
      <c r="L9" s="2"/>
      <c r="M9" s="2"/>
      <c r="O9" s="9" t="s">
        <v>146</v>
      </c>
      <c r="P9" s="11" t="str">
        <f>IFERROR(AVERAGE(I4:I100),"")</f>
        <v/>
      </c>
    </row>
    <row r="10" spans="1:16" ht="60" customHeight="1" x14ac:dyDescent="0.25">
      <c r="A10" s="2"/>
      <c r="B10" s="2"/>
      <c r="C10" s="2"/>
      <c r="D10" s="2"/>
      <c r="E10" s="6"/>
      <c r="F10" s="6"/>
      <c r="G10" s="6"/>
      <c r="H10" s="7">
        <f t="shared" si="1"/>
        <v>0</v>
      </c>
      <c r="I10" s="8" t="str">
        <f t="shared" si="0"/>
        <v/>
      </c>
      <c r="J10" s="2"/>
      <c r="K10" s="2"/>
      <c r="L10" s="2"/>
      <c r="M10" s="2"/>
    </row>
    <row r="11" spans="1:16" ht="60" customHeight="1" x14ac:dyDescent="0.25">
      <c r="A11" s="2"/>
      <c r="B11" s="2"/>
      <c r="C11" s="2"/>
      <c r="D11" s="2"/>
      <c r="E11" s="6"/>
      <c r="F11" s="6"/>
      <c r="G11" s="6"/>
      <c r="H11" s="7">
        <f t="shared" si="1"/>
        <v>0</v>
      </c>
      <c r="I11" s="8" t="str">
        <f t="shared" si="0"/>
        <v/>
      </c>
      <c r="J11" s="2"/>
      <c r="K11" s="2"/>
      <c r="L11" s="2"/>
      <c r="M11" s="2"/>
    </row>
    <row r="12" spans="1:16" ht="60" customHeight="1" x14ac:dyDescent="0.25">
      <c r="A12" s="2"/>
      <c r="B12" s="2"/>
      <c r="C12" s="2"/>
      <c r="D12" s="2"/>
      <c r="E12" s="6"/>
      <c r="F12" s="6"/>
      <c r="G12" s="6"/>
      <c r="H12" s="7">
        <f t="shared" si="1"/>
        <v>0</v>
      </c>
      <c r="I12" s="8" t="str">
        <f t="shared" si="0"/>
        <v/>
      </c>
      <c r="J12" s="2"/>
      <c r="K12" s="2"/>
      <c r="L12" s="2"/>
      <c r="M12" s="2"/>
    </row>
    <row r="13" spans="1:16" ht="60" customHeight="1" x14ac:dyDescent="0.25">
      <c r="A13" s="2"/>
      <c r="B13" s="2"/>
      <c r="C13" s="2"/>
      <c r="D13" s="2"/>
      <c r="E13" s="6"/>
      <c r="F13" s="6"/>
      <c r="G13" s="6"/>
      <c r="H13" s="7">
        <f t="shared" si="1"/>
        <v>0</v>
      </c>
      <c r="I13" s="8" t="str">
        <f t="shared" si="0"/>
        <v/>
      </c>
      <c r="J13" s="2"/>
      <c r="K13" s="2"/>
      <c r="L13" s="2"/>
      <c r="M13" s="2"/>
    </row>
    <row r="14" spans="1:16" ht="60" customHeight="1" x14ac:dyDescent="0.25">
      <c r="A14" s="2"/>
      <c r="B14" s="2"/>
      <c r="C14" s="2"/>
      <c r="D14" s="2"/>
      <c r="E14" s="6"/>
      <c r="F14" s="6"/>
      <c r="G14" s="6"/>
      <c r="H14" s="7">
        <f t="shared" si="1"/>
        <v>0</v>
      </c>
      <c r="I14" s="8" t="str">
        <f t="shared" si="0"/>
        <v/>
      </c>
      <c r="J14" s="2"/>
      <c r="K14" s="2"/>
      <c r="L14" s="2"/>
      <c r="M14" s="2"/>
    </row>
    <row r="15" spans="1:16" ht="60" customHeight="1" x14ac:dyDescent="0.25">
      <c r="A15" s="2"/>
      <c r="B15" s="2"/>
      <c r="C15" s="2"/>
      <c r="D15" s="2"/>
      <c r="E15" s="6"/>
      <c r="F15" s="6"/>
      <c r="G15" s="6"/>
      <c r="H15" s="7">
        <f t="shared" si="1"/>
        <v>0</v>
      </c>
      <c r="I15" s="8" t="str">
        <f t="shared" si="0"/>
        <v/>
      </c>
      <c r="J15" s="2"/>
      <c r="K15" s="2"/>
      <c r="L15" s="2"/>
      <c r="M15" s="2"/>
    </row>
    <row r="16" spans="1:16" ht="60" customHeight="1" x14ac:dyDescent="0.25">
      <c r="A16" s="2"/>
      <c r="B16" s="2"/>
      <c r="C16" s="2"/>
      <c r="D16" s="2"/>
      <c r="E16" s="6"/>
      <c r="F16" s="6"/>
      <c r="G16" s="6"/>
      <c r="H16" s="7">
        <f t="shared" si="1"/>
        <v>0</v>
      </c>
      <c r="I16" s="8" t="str">
        <f t="shared" si="0"/>
        <v/>
      </c>
      <c r="J16" s="2"/>
      <c r="K16" s="2"/>
      <c r="L16" s="2"/>
      <c r="M16" s="2"/>
    </row>
    <row r="17" spans="1:13" ht="60" customHeight="1" x14ac:dyDescent="0.25">
      <c r="A17" s="2"/>
      <c r="B17" s="2"/>
      <c r="C17" s="2"/>
      <c r="D17" s="2"/>
      <c r="E17" s="6"/>
      <c r="F17" s="6"/>
      <c r="G17" s="6"/>
      <c r="H17" s="7">
        <f t="shared" si="1"/>
        <v>0</v>
      </c>
      <c r="I17" s="8" t="str">
        <f t="shared" si="0"/>
        <v/>
      </c>
      <c r="J17" s="2"/>
      <c r="K17" s="2"/>
      <c r="L17" s="2"/>
      <c r="M17" s="2"/>
    </row>
    <row r="18" spans="1:13" ht="60" customHeight="1" x14ac:dyDescent="0.25">
      <c r="A18" s="2"/>
      <c r="B18" s="2"/>
      <c r="C18" s="2"/>
      <c r="D18" s="2"/>
      <c r="E18" s="6"/>
      <c r="F18" s="6"/>
      <c r="G18" s="6"/>
      <c r="H18" s="7">
        <f t="shared" si="1"/>
        <v>0</v>
      </c>
      <c r="I18" s="8" t="str">
        <f t="shared" si="0"/>
        <v/>
      </c>
      <c r="J18" s="2"/>
      <c r="K18" s="2"/>
      <c r="L18" s="2"/>
      <c r="M18" s="2"/>
    </row>
    <row r="19" spans="1:13" ht="60" customHeight="1" x14ac:dyDescent="0.25">
      <c r="A19" s="2"/>
      <c r="B19" s="2"/>
      <c r="C19" s="2"/>
      <c r="D19" s="2"/>
      <c r="E19" s="6"/>
      <c r="F19" s="6"/>
      <c r="G19" s="6"/>
      <c r="H19" s="7">
        <f t="shared" si="1"/>
        <v>0</v>
      </c>
      <c r="I19" s="8" t="str">
        <f t="shared" si="0"/>
        <v/>
      </c>
      <c r="J19" s="2"/>
      <c r="K19" s="2"/>
      <c r="L19" s="2"/>
      <c r="M19" s="2"/>
    </row>
    <row r="20" spans="1:13" ht="60" customHeight="1" x14ac:dyDescent="0.25">
      <c r="A20" s="2"/>
      <c r="B20" s="2"/>
      <c r="C20" s="2"/>
      <c r="D20" s="2"/>
      <c r="E20" s="6"/>
      <c r="F20" s="6"/>
      <c r="G20" s="6"/>
      <c r="H20" s="7">
        <f t="shared" si="1"/>
        <v>0</v>
      </c>
      <c r="I20" s="8" t="str">
        <f t="shared" si="0"/>
        <v/>
      </c>
      <c r="J20" s="2"/>
      <c r="K20" s="2"/>
      <c r="L20" s="2"/>
      <c r="M20" s="2"/>
    </row>
    <row r="21" spans="1:13" ht="60" customHeight="1" x14ac:dyDescent="0.25">
      <c r="A21" s="2"/>
      <c r="B21" s="2"/>
      <c r="C21" s="2"/>
      <c r="D21" s="2"/>
      <c r="E21" s="6"/>
      <c r="F21" s="6"/>
      <c r="G21" s="6"/>
      <c r="H21" s="7">
        <f t="shared" si="1"/>
        <v>0</v>
      </c>
      <c r="I21" s="8" t="str">
        <f t="shared" si="0"/>
        <v/>
      </c>
      <c r="J21" s="2"/>
      <c r="K21" s="2"/>
      <c r="L21" s="2"/>
      <c r="M21" s="2"/>
    </row>
    <row r="22" spans="1:13" ht="60" customHeight="1" x14ac:dyDescent="0.25">
      <c r="A22" s="2"/>
      <c r="B22" s="2"/>
      <c r="C22" s="2"/>
      <c r="D22" s="2"/>
      <c r="E22" s="6"/>
      <c r="F22" s="6"/>
      <c r="G22" s="6"/>
      <c r="H22" s="7">
        <f t="shared" si="1"/>
        <v>0</v>
      </c>
      <c r="I22" s="8" t="str">
        <f t="shared" si="0"/>
        <v/>
      </c>
      <c r="J22" s="2"/>
      <c r="K22" s="2"/>
      <c r="L22" s="2"/>
      <c r="M22" s="2"/>
    </row>
    <row r="23" spans="1:13" ht="60" customHeight="1" x14ac:dyDescent="0.25">
      <c r="A23" s="2"/>
      <c r="B23" s="2"/>
      <c r="C23" s="2"/>
      <c r="D23" s="2"/>
      <c r="E23" s="6"/>
      <c r="F23" s="6"/>
      <c r="G23" s="6"/>
      <c r="H23" s="7">
        <f t="shared" si="1"/>
        <v>0</v>
      </c>
      <c r="I23" s="8" t="str">
        <f t="shared" si="0"/>
        <v/>
      </c>
      <c r="J23" s="2"/>
      <c r="K23" s="2"/>
      <c r="L23" s="2"/>
      <c r="M23" s="2"/>
    </row>
    <row r="24" spans="1:13" ht="60" customHeight="1" x14ac:dyDescent="0.25">
      <c r="A24" s="2"/>
      <c r="B24" s="2"/>
      <c r="C24" s="2"/>
      <c r="D24" s="2"/>
      <c r="E24" s="6"/>
      <c r="F24" s="6"/>
      <c r="G24" s="6"/>
      <c r="H24" s="7">
        <f t="shared" si="1"/>
        <v>0</v>
      </c>
      <c r="I24" s="8" t="str">
        <f t="shared" si="0"/>
        <v/>
      </c>
      <c r="J24" s="2"/>
      <c r="K24" s="2"/>
      <c r="L24" s="2"/>
      <c r="M24" s="2"/>
    </row>
    <row r="25" spans="1:13" ht="60" customHeight="1" x14ac:dyDescent="0.25">
      <c r="A25" s="2"/>
      <c r="B25" s="2"/>
      <c r="C25" s="2"/>
      <c r="D25" s="2"/>
      <c r="E25" s="6"/>
      <c r="F25" s="6"/>
      <c r="G25" s="6"/>
      <c r="H25" s="7">
        <f t="shared" si="1"/>
        <v>0</v>
      </c>
      <c r="I25" s="8" t="str">
        <f t="shared" si="0"/>
        <v/>
      </c>
      <c r="J25" s="2"/>
      <c r="K25" s="2"/>
      <c r="L25" s="2"/>
      <c r="M25" s="2"/>
    </row>
    <row r="26" spans="1:13" ht="60" customHeight="1" x14ac:dyDescent="0.25">
      <c r="A26" s="2"/>
      <c r="B26" s="2"/>
      <c r="C26" s="2"/>
      <c r="D26" s="2"/>
      <c r="E26" s="6"/>
      <c r="F26" s="6"/>
      <c r="G26" s="6"/>
      <c r="H26" s="7">
        <f t="shared" si="1"/>
        <v>0</v>
      </c>
      <c r="I26" s="8" t="str">
        <f t="shared" si="0"/>
        <v/>
      </c>
      <c r="J26" s="2"/>
      <c r="K26" s="2"/>
      <c r="L26" s="2"/>
      <c r="M26" s="2"/>
    </row>
    <row r="27" spans="1:13" ht="60" customHeight="1" x14ac:dyDescent="0.25">
      <c r="A27" s="2"/>
      <c r="B27" s="2"/>
      <c r="C27" s="2"/>
      <c r="D27" s="2"/>
      <c r="E27" s="6"/>
      <c r="F27" s="6"/>
      <c r="G27" s="6"/>
      <c r="H27" s="7">
        <f t="shared" si="1"/>
        <v>0</v>
      </c>
      <c r="I27" s="8" t="str">
        <f t="shared" si="0"/>
        <v/>
      </c>
      <c r="J27" s="2"/>
      <c r="K27" s="2"/>
      <c r="L27" s="2"/>
      <c r="M27" s="2"/>
    </row>
    <row r="28" spans="1:13" ht="60" customHeight="1" x14ac:dyDescent="0.25">
      <c r="A28" s="2"/>
      <c r="B28" s="2"/>
      <c r="C28" s="2"/>
      <c r="D28" s="2"/>
      <c r="E28" s="6"/>
      <c r="F28" s="6"/>
      <c r="G28" s="6"/>
      <c r="H28" s="7">
        <f t="shared" si="1"/>
        <v>0</v>
      </c>
      <c r="I28" s="8" t="str">
        <f t="shared" si="0"/>
        <v/>
      </c>
      <c r="J28" s="2"/>
      <c r="K28" s="2"/>
      <c r="L28" s="2"/>
      <c r="M28" s="2"/>
    </row>
    <row r="29" spans="1:13" ht="60" customHeight="1" x14ac:dyDescent="0.25">
      <c r="A29" s="2"/>
      <c r="B29" s="2"/>
      <c r="C29" s="2"/>
      <c r="D29" s="2"/>
      <c r="E29" s="6"/>
      <c r="F29" s="6"/>
      <c r="G29" s="6"/>
      <c r="H29" s="7">
        <f t="shared" si="1"/>
        <v>0</v>
      </c>
      <c r="I29" s="8" t="str">
        <f t="shared" si="0"/>
        <v/>
      </c>
      <c r="J29" s="2"/>
      <c r="K29" s="2"/>
      <c r="L29" s="2"/>
      <c r="M29" s="2"/>
    </row>
  </sheetData>
  <mergeCells count="1">
    <mergeCell ref="A1:L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zoomScaleNormal="100" workbookViewId="0">
      <pane ySplit="4" topLeftCell="A5" activePane="bottomLeft" state="frozen"/>
      <selection pane="bottomLeft" activeCell="F5" sqref="F5"/>
    </sheetView>
  </sheetViews>
  <sheetFormatPr defaultColWidth="8.7109375" defaultRowHeight="15" x14ac:dyDescent="0.25"/>
  <cols>
    <col min="1" max="1" width="8" customWidth="1"/>
    <col min="2" max="2" width="12" customWidth="1"/>
    <col min="3" max="3" width="30" customWidth="1"/>
    <col min="4" max="4" width="32" customWidth="1"/>
    <col min="5" max="5" width="24" customWidth="1"/>
    <col min="6" max="6" width="40" customWidth="1"/>
  </cols>
  <sheetData>
    <row r="1" spans="1:6" ht="23.25" x14ac:dyDescent="0.35">
      <c r="A1" s="20" t="s">
        <v>147</v>
      </c>
      <c r="B1" s="20"/>
      <c r="C1" s="20"/>
      <c r="D1" s="20"/>
      <c r="E1" s="20"/>
      <c r="F1" s="20"/>
    </row>
    <row r="2" spans="1:6" ht="31.5" customHeight="1" x14ac:dyDescent="0.25">
      <c r="A2" s="25" t="s">
        <v>148</v>
      </c>
      <c r="B2" s="25"/>
      <c r="C2" s="25"/>
      <c r="D2" s="25"/>
      <c r="E2" s="25"/>
      <c r="F2" s="25"/>
    </row>
    <row r="4" spans="1:6" ht="42" customHeight="1" x14ac:dyDescent="0.25">
      <c r="A4" s="1" t="s">
        <v>149</v>
      </c>
      <c r="B4" s="1" t="s">
        <v>23</v>
      </c>
      <c r="C4" s="1" t="s">
        <v>150</v>
      </c>
      <c r="D4" s="1" t="s">
        <v>151</v>
      </c>
      <c r="E4" s="1" t="s">
        <v>152</v>
      </c>
      <c r="F4" s="1" t="s">
        <v>153</v>
      </c>
    </row>
    <row r="5" spans="1:6" ht="60" customHeight="1" x14ac:dyDescent="0.25">
      <c r="A5" s="13">
        <v>1</v>
      </c>
      <c r="B5" s="2"/>
      <c r="C5" s="2"/>
      <c r="D5" s="2"/>
      <c r="E5" s="2"/>
      <c r="F5" s="4"/>
    </row>
    <row r="6" spans="1:6" ht="60" customHeight="1" x14ac:dyDescent="0.25">
      <c r="A6" s="13">
        <v>2</v>
      </c>
      <c r="B6" s="2"/>
      <c r="C6" s="2"/>
      <c r="D6" s="2"/>
      <c r="E6" s="2"/>
      <c r="F6" s="4"/>
    </row>
    <row r="7" spans="1:6" ht="60" customHeight="1" x14ac:dyDescent="0.25">
      <c r="A7" s="13">
        <v>3</v>
      </c>
      <c r="B7" s="2"/>
      <c r="C7" s="2"/>
      <c r="D7" s="2"/>
      <c r="E7" s="2"/>
      <c r="F7" s="4"/>
    </row>
    <row r="8" spans="1:6" ht="60" customHeight="1" x14ac:dyDescent="0.25">
      <c r="A8" s="13">
        <v>4</v>
      </c>
      <c r="B8" s="2"/>
      <c r="C8" s="2"/>
      <c r="D8" s="2"/>
      <c r="E8" s="2"/>
      <c r="F8" s="4"/>
    </row>
    <row r="9" spans="1:6" ht="60" customHeight="1" x14ac:dyDescent="0.25">
      <c r="A9" s="13">
        <v>5</v>
      </c>
      <c r="B9" s="2"/>
      <c r="C9" s="2"/>
      <c r="D9" s="2"/>
      <c r="E9" s="2"/>
      <c r="F9" s="4"/>
    </row>
    <row r="10" spans="1:6" ht="60" customHeight="1" x14ac:dyDescent="0.25">
      <c r="A10" s="13">
        <v>6</v>
      </c>
      <c r="B10" s="2"/>
      <c r="C10" s="2"/>
      <c r="D10" s="2"/>
      <c r="E10" s="2"/>
      <c r="F10" s="4"/>
    </row>
    <row r="11" spans="1:6" ht="60" customHeight="1" x14ac:dyDescent="0.25">
      <c r="A11" s="13">
        <v>7</v>
      </c>
      <c r="B11" s="2"/>
      <c r="C11" s="2"/>
      <c r="D11" s="2"/>
      <c r="E11" s="2"/>
      <c r="F11" s="4"/>
    </row>
    <row r="12" spans="1:6" ht="60" customHeight="1" x14ac:dyDescent="0.25">
      <c r="A12" s="13">
        <v>8</v>
      </c>
      <c r="B12" s="2"/>
      <c r="C12" s="2"/>
      <c r="D12" s="2"/>
      <c r="E12" s="2"/>
      <c r="F12" s="4"/>
    </row>
    <row r="13" spans="1:6" ht="60" customHeight="1" x14ac:dyDescent="0.25">
      <c r="A13" s="13">
        <v>9</v>
      </c>
      <c r="B13" s="2"/>
      <c r="C13" s="2"/>
      <c r="D13" s="2"/>
      <c r="E13" s="2"/>
      <c r="F13" s="4"/>
    </row>
    <row r="14" spans="1:6" ht="60" customHeight="1" x14ac:dyDescent="0.25">
      <c r="A14" s="13">
        <v>10</v>
      </c>
      <c r="B14" s="2"/>
      <c r="C14" s="2"/>
      <c r="D14" s="2"/>
      <c r="E14" s="2"/>
      <c r="F14" s="4"/>
    </row>
    <row r="15" spans="1:6" ht="60" customHeight="1" x14ac:dyDescent="0.25">
      <c r="A15" s="13">
        <v>11</v>
      </c>
      <c r="B15" s="2"/>
      <c r="C15" s="2"/>
      <c r="D15" s="2"/>
      <c r="E15" s="2"/>
      <c r="F15" s="4"/>
    </row>
    <row r="16" spans="1:6" ht="60" customHeight="1" x14ac:dyDescent="0.25">
      <c r="A16" s="13">
        <v>12</v>
      </c>
      <c r="B16" s="2"/>
      <c r="C16" s="2"/>
      <c r="D16" s="2"/>
      <c r="E16" s="2"/>
      <c r="F16" s="4"/>
    </row>
    <row r="17" spans="1:6" ht="60" customHeight="1" x14ac:dyDescent="0.25">
      <c r="A17" s="13">
        <v>13</v>
      </c>
      <c r="B17" s="2"/>
      <c r="C17" s="2"/>
      <c r="D17" s="2"/>
      <c r="E17" s="2"/>
      <c r="F17" s="4"/>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zoomScaleNormal="100" workbookViewId="0">
      <selection activeCell="A2" sqref="A2:D2"/>
    </sheetView>
  </sheetViews>
  <sheetFormatPr defaultColWidth="8.7109375" defaultRowHeight="15" x14ac:dyDescent="0.25"/>
  <cols>
    <col min="1" max="1" width="50" customWidth="1"/>
    <col min="2" max="4" width="38" customWidth="1"/>
  </cols>
  <sheetData>
    <row r="1" spans="1:4" ht="23.25" x14ac:dyDescent="0.35">
      <c r="A1" s="20" t="s">
        <v>154</v>
      </c>
      <c r="B1" s="20"/>
      <c r="C1" s="20"/>
      <c r="D1" s="20"/>
    </row>
    <row r="2" spans="1:4" x14ac:dyDescent="0.25">
      <c r="A2" s="26" t="s">
        <v>155</v>
      </c>
      <c r="B2" s="26"/>
      <c r="C2" s="26"/>
      <c r="D2" s="26"/>
    </row>
    <row r="4" spans="1:4" ht="42" customHeight="1" x14ac:dyDescent="0.25">
      <c r="A4" s="1" t="s">
        <v>156</v>
      </c>
      <c r="B4" s="1" t="s">
        <v>157</v>
      </c>
      <c r="C4" s="1" t="s">
        <v>158</v>
      </c>
      <c r="D4" s="1" t="s">
        <v>159</v>
      </c>
    </row>
    <row r="5" spans="1:4" ht="109.5" customHeight="1" x14ac:dyDescent="0.25">
      <c r="A5" s="14" t="s">
        <v>160</v>
      </c>
      <c r="B5" s="2"/>
      <c r="C5" s="2"/>
      <c r="D5" s="2"/>
    </row>
    <row r="6" spans="1:4" ht="109.5" customHeight="1" x14ac:dyDescent="0.25">
      <c r="A6" s="14" t="s">
        <v>161</v>
      </c>
      <c r="B6" s="2"/>
      <c r="C6" s="2"/>
      <c r="D6" s="2"/>
    </row>
    <row r="7" spans="1:4" ht="109.5" customHeight="1" x14ac:dyDescent="0.25">
      <c r="A7" s="14" t="s">
        <v>162</v>
      </c>
      <c r="B7" s="2"/>
      <c r="C7" s="2"/>
      <c r="D7" s="2"/>
    </row>
    <row r="8" spans="1:4" ht="109.5" customHeight="1" x14ac:dyDescent="0.25">
      <c r="A8" s="14" t="s">
        <v>163</v>
      </c>
      <c r="B8" s="2"/>
      <c r="C8" s="2"/>
      <c r="D8" s="2"/>
    </row>
    <row r="9" spans="1:4" ht="109.5" customHeight="1" x14ac:dyDescent="0.25">
      <c r="A9" s="14" t="s">
        <v>164</v>
      </c>
      <c r="B9" s="2"/>
      <c r="C9" s="2"/>
      <c r="D9" s="2"/>
    </row>
    <row r="10" spans="1:4" ht="109.5" customHeight="1" x14ac:dyDescent="0.25">
      <c r="A10" s="14" t="s">
        <v>165</v>
      </c>
      <c r="B10" s="2"/>
      <c r="C10" s="2"/>
      <c r="D10" s="2"/>
    </row>
    <row r="11" spans="1:4" ht="109.5" customHeight="1" x14ac:dyDescent="0.25">
      <c r="A11" s="14" t="s">
        <v>166</v>
      </c>
      <c r="B11" s="2"/>
      <c r="C11" s="2"/>
      <c r="D11" s="2"/>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Investment Thesis</vt:lpstr>
      <vt:lpstr>Buy Log</vt:lpstr>
      <vt:lpstr>Sell Log</vt:lpstr>
      <vt:lpstr>Weekly Review</vt:lpstr>
      <vt:lpstr>Reviews 30-60-90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Kain Kim</cp:lastModifiedBy>
  <cp:revision>0</cp:revision>
  <dcterms:created xsi:type="dcterms:W3CDTF">2026-05-21T20:50:39Z</dcterms:created>
  <dcterms:modified xsi:type="dcterms:W3CDTF">2026-06-02T21:08:05Z</dcterms:modified>
  <cp:category/>
  <cp:contentStatus/>
</cp:coreProperties>
</file>